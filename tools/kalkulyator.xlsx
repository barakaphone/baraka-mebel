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8800" windowHeight="12315" tabRatio="832" firstSheet="1" activeTab="15"/>
  </bookViews>
  <sheets>
    <sheet name="Buyurtma" sheetId="1" r:id="rId1"/>
    <sheet name="Spalniy" sheetId="2" r:id="rId2"/>
    <sheet name="Oshxona" sheetId="3" r:id="rId3"/>
    <sheet name="Korpus mebel" sheetId="4" r:id="rId4"/>
    <sheet name="Mijoz uchun" sheetId="5" r:id="rId5"/>
    <sheet name="Ustalar" sheetId="6" r:id="rId6"/>
    <sheet name="Laminat xom ashyo" sheetId="7" r:id="rId7"/>
    <sheet name="Krasheniy xom ashyo" sheetId="8" r:id="rId8"/>
    <sheet name="Oshxona narxlari" sheetId="9" r:id="rId9"/>
    <sheet name="Tannarx" sheetId="10" r:id="rId10"/>
    <sheet name="Korpus hisob" sheetId="11" r:id="rId11"/>
    <sheet name="Tariflar" sheetId="12" r:id="rId12"/>
    <sheet name="Ro'yxat" sheetId="13" r:id="rId13"/>
    <sheet name="Sozlamalar" sheetId="14" r:id="rId14"/>
    <sheet name="Detallar" sheetId="15" r:id="rId15"/>
    <sheet name="Furnitura" sheetId="16" r:id="rId16"/>
  </sheets>
  <definedNames>
    <definedName name="_xlnm._FilterDatabase" localSheetId="14" hidden="1">Detallar!$A$4:$R$58</definedName>
    <definedName name="_xlnm._FilterDatabase" localSheetId="15" hidden="1">Furnitura!$A$4:$F$60</definedName>
    <definedName name="_xlnm._FilterDatabase" localSheetId="7" hidden="1">'Krasheniy xom ashyo'!$A$4:$R$35</definedName>
    <definedName name="_xlnm._FilterDatabase" localSheetId="6" hidden="1">'Laminat xom ashyo'!$A$4:$V$49</definedName>
    <definedName name="chegirma_summa">Buyurtma!$D$16</definedName>
    <definedName name="chest_D">Sozlamalar!$C$74</definedName>
    <definedName name="chest_Dk">Sozlamalar!$C$117</definedName>
    <definedName name="chest_fasH">Sozlamalar!$C$119</definedName>
    <definedName name="chest_fasW">Sozlamalar!$C$118</definedName>
    <definedName name="chest_H">Sozlamalar!$C$75</definedName>
    <definedName name="chest_kra">Sozlamalar!$C$144</definedName>
    <definedName name="chest_kyon">Sozlamalar!$C$146</definedName>
    <definedName name="chest_kyuz">Sozlamalar!$C$145</definedName>
    <definedName name="chest_naprav">Sozlamalar!$C$122</definedName>
    <definedName name="chest_qH">Sozlamalar!$C$121</definedName>
    <definedName name="chest_qW">Sozlamalar!$C$120</definedName>
    <definedName name="chest_soni">Sozlamalar!$C$72</definedName>
    <definedName name="chest_W">Sozlamalar!$C$73</definedName>
    <definedName name="chest_yashik">Sozlamalar!$C$76</definedName>
    <definedName name="dsp_L">Sozlamalar!$C$97</definedName>
    <definedName name="dsp_W">Sozlamalar!$C$98</definedName>
    <definedName name="dvp_L">Sozlamalar!$C$37</definedName>
    <definedName name="dvp_W">Sozlamalar!$C$38</definedName>
    <definedName name="emal_norma">Sozlamalar!$C$92</definedName>
    <definedName name="eritgich_norma">Sozlamalar!$C$95</definedName>
    <definedName name="fasad_tomon">Sozlamalar!$C$89</definedName>
    <definedName name="figura_H">Sozlamalar!$C$59</definedName>
    <definedName name="figura_koef">Sozlamalar!$C$61</definedName>
    <definedName name="figura_qatlam">Sozlamalar!$C$60</definedName>
    <definedName name="figura_W">Sozlamalar!$C$58</definedName>
    <definedName name="grunt_norma">Sozlamalar!$C$91</definedName>
    <definedName name="jami_sotuv">Buyurtma!$E$14</definedName>
    <definedName name="k_bolim_eni">Sozlamalar!$C$155</definedName>
    <definedName name="k_kupe_eni">Sozlamalar!$C$156</definedName>
    <definedName name="k_kupe_H">Sozlamalar!$C$154</definedName>
    <definedName name="k_kupe_ustma">Sozlamalar!$C$153</definedName>
    <definedName name="k_kupe_zazor">Sozlamalar!$C$152</definedName>
    <definedName name="k_oyna_chet">Sozlamalar!$C$159</definedName>
    <definedName name="k_yashik_fas">Sozlamalar!$C$157</definedName>
    <definedName name="k_yashik_quti">Sozlamalar!$C$158</definedName>
    <definedName name="kompaniya_kontakt">Sozlamalar!$C$14</definedName>
    <definedName name="kompaniya_nomi">Sozlamalar!$C$13</definedName>
    <definedName name="kor_miss">'Korpus hisob'!$I$92</definedName>
    <definedName name="kor_sotuv">'Korpus hisob'!$I$91</definedName>
    <definedName name="kor_tan">'Korpus hisob'!$I$89</definedName>
    <definedName name="korpus_tomon">Sozlamalar!$C$90</definedName>
    <definedName name="krovat_balka">Sozlamalar!$C$57</definedName>
    <definedName name="krovat_fig">Sozlamalar!$C$54</definedName>
    <definedName name="krovat_H">Sozlamalar!$C$52</definedName>
    <definedName name="krovat_ichL">Sozlamalar!$C$109</definedName>
    <definedName name="krovat_ichW">Sozlamalar!$C$110</definedName>
    <definedName name="krovat_L">Sozlamalar!$C$50</definedName>
    <definedName name="krovat_nasos">Sozlamalar!$C$55</definedName>
    <definedName name="krovat_soni">Sozlamalar!$C$49</definedName>
    <definedName name="krovat_spinka">Sozlamalar!$C$53</definedName>
    <definedName name="krovat_tsarga">Sozlamalar!$C$56</definedName>
    <definedName name="krovat_W">Sozlamalar!$C$51</definedName>
    <definedName name="kurs_baza">Sozlamalar!$C$7</definedName>
    <definedName name="kurs_joriy">Sozlamalar!$C$8</definedName>
    <definedName name="lak_norma">Sozlamalar!$C$93</definedName>
    <definedName name="ldsp_L">Sozlamalar!$C$35</definedName>
    <definedName name="ldsp_W">Sozlamalar!$C$36</definedName>
    <definedName name="mdf_L">Sozlamalar!$C$87</definedName>
    <definedName name="mdf_W">Sozlamalar!$C$88</definedName>
    <definedName name="naqd_chegirma_bilan">Buyurtma!$B$17</definedName>
    <definedName name="naqd_narx">Tariflar!$B$32</definedName>
    <definedName name="old_tolov">Tariflar!$B$33</definedName>
    <definedName name="old_ulush">Tariflar!$B$34</definedName>
    <definedName name="osh_bal_list">'Oshxona narxlari'!$G$5:$G$19</definedName>
    <definedName name="osh_sotuv">Oshxona!$K$11</definedName>
    <definedName name="osh_t_bal">'Oshxona narxlari'!$B$5:$B$34</definedName>
    <definedName name="osh_t_mat">'Oshxona narxlari'!$A$5:$A$34</definedName>
    <definedName name="osh_t_narx">'Oshxona narxlari'!$C$5:$C$34</definedName>
    <definedName name="osh_tan">Oshxona!$I$11</definedName>
    <definedName name="osh_xom_list">'Oshxona narxlari'!$F$5:$F$19</definedName>
    <definedName name="oshxona_narx_turi">Sozlamalar!$C$149</definedName>
    <definedName name="oyna_asos">Sozlamalar!$C$86</definedName>
    <definedName name="oyna_H">Sozlamalar!$C$83</definedName>
    <definedName name="oyna_ramka">Sozlamalar!$C$85</definedName>
    <definedName name="oyna_soni">Sozlamalar!$C$82</definedName>
    <definedName name="oyna_W">Sozlamalar!$C$84</definedName>
    <definedName name="p_chegirma">Buyurtma!$B$16</definedName>
    <definedName name="p_chest_soni">Spalniy!$C$30</definedName>
    <definedName name="p_chest_yon">Spalniy!$C$32</definedName>
    <definedName name="p_chest_yuz">Spalniy!$C$31</definedName>
    <definedName name="p_filial">Buyurtma!$B$7</definedName>
    <definedName name="p_k_usta">'Korpus mebel'!$C$4</definedName>
    <definedName name="p_kapot">Spalniy!$C$19</definedName>
    <definedName name="p_krovat_figura">Spalniy!$C$18</definedName>
    <definedName name="p_krovat_H">Spalniy!$C$16</definedName>
    <definedName name="p_krovat_L">Spalniy!$C$14</definedName>
    <definedName name="p_krovat_soni">Spalniy!$C$13</definedName>
    <definedName name="p_krovat_spinka">Spalniy!$C$17</definedName>
    <definedName name="p_krovat_W">Spalniy!$C$15</definedName>
    <definedName name="p_m_korpus">Buyurtma!$B$13</definedName>
    <definedName name="p_m_oshxona">Buyurtma!$B$12</definedName>
    <definedName name="p_m_spalniy">Buyurtma!$B$11</definedName>
    <definedName name="p_matras">Spalniy!$C$20</definedName>
    <definedName name="p_mijoz">Buyurtma!$B$4</definedName>
    <definedName name="p_old_foiz">Buyurtma!$B$21</definedName>
    <definedName name="p_old_summa">Buyurtma!$B$22</definedName>
    <definedName name="p_oyna_soni">Spalniy!$C$34</definedName>
    <definedName name="p_pufik_soni">Spalniy!$C$33</definedName>
    <definedName name="p_sana">Buyurtma!$B$6</definedName>
    <definedName name="p_shkaf_D">Spalniy!$C$7</definedName>
    <definedName name="p_shkaf_eshik">Spalniy!$C$9</definedName>
    <definedName name="p_shkaf_H">Spalniy!$C$6</definedName>
    <definedName name="p_shkaf_oyna">Spalniy!$C$10</definedName>
    <definedName name="p_shkaf_soni">Spalniy!$C$5</definedName>
    <definedName name="p_shkaf_W">Spalniy!$C$8</definedName>
    <definedName name="p_shkaf_yon">Spalniy!$C$12</definedName>
    <definedName name="p_shkaf_yuz">Spalniy!$C$11</definedName>
    <definedName name="p_sotuvchi">Buyurtma!$B$8</definedName>
    <definedName name="p_tel">Buyurtma!$B$5</definedName>
    <definedName name="p_tolov_turi">Buyurtma!$B$20</definedName>
    <definedName name="p_trimo_D">Spalniy!$C$23</definedName>
    <definedName name="p_trimo_H">Spalniy!$C$24</definedName>
    <definedName name="p_trimo_soni">Spalniy!$C$21</definedName>
    <definedName name="p_trimo_W">Spalniy!$C$22</definedName>
    <definedName name="p_trimo_yon">Spalniy!$C$26</definedName>
    <definedName name="p_trimo_yuz">Spalniy!$C$25</definedName>
    <definedName name="p_tumba_soni">Spalniy!$C$27</definedName>
    <definedName name="p_tumba_yon">Spalniy!$C$29</definedName>
    <definedName name="p_tumba_yuz">Spalniy!$C$28</definedName>
    <definedName name="p_usta">Spalniy!$C$35</definedName>
    <definedName name="pufik_H">Sozlamalar!$C$79</definedName>
    <definedName name="pufik_oyoq">Sozlamalar!$C$81</definedName>
    <definedName name="pufik_porolon">Sozlamalar!$C$80</definedName>
    <definedName name="pufik_qutiH">Sozlamalar!$C$132</definedName>
    <definedName name="pufik_soni">Sozlamalar!$C$77</definedName>
    <definedName name="pufik_W">Sozlamalar!$C$78</definedName>
    <definedName name="qal">Sozlamalar!$C$27</definedName>
    <definedName name="qoldiq">Tariflar!$B$35</definedName>
    <definedName name="qotir_norma">Sozlamalar!$C$94</definedName>
    <definedName name="royxat_soni">'Ro''yxat'!$G$25</definedName>
    <definedName name="savdo_ustama">Sozlamalar!$C$9</definedName>
    <definedName name="shkaf_D">Sozlamalar!$C$42</definedName>
    <definedName name="shkaf_Dk">Sozlamalar!$C$102</definedName>
    <definedName name="shkaf_eshik">Sozlamalar!$C$44</definedName>
    <definedName name="shkaf_eshikH">Sozlamalar!$C$105</definedName>
    <definedName name="shkaf_eshikW">Sozlamalar!$C$104</definedName>
    <definedName name="shkaf_H">Sozlamalar!$C$41</definedName>
    <definedName name="shkaf_kra">Sozlamalar!$C$135</definedName>
    <definedName name="shkaf_kyon">Sozlamalar!$C$137</definedName>
    <definedName name="shkaf_kyuz">Sozlamalar!$C$136</definedName>
    <definedName name="shkaf_oyna_H">Sozlamalar!$C$47</definedName>
    <definedName name="shkaf_oyna_soni">Sozlamalar!$C$45</definedName>
    <definedName name="shkaf_oyna_W">Sozlamalar!$C$48</definedName>
    <definedName name="shkaf_petlya">Sozlamalar!$C$106</definedName>
    <definedName name="shkaf_polka">Sozlamalar!$C$46</definedName>
    <definedName name="shkaf_qop_n">Sozlamalar!$C$107</definedName>
    <definedName name="shkaf_qopL">Sozlamalar!$C$108</definedName>
    <definedName name="shkaf_sek">Sozlamalar!$C$101</definedName>
    <definedName name="shkaf_sekW">Sozlamalar!$C$103</definedName>
    <definedName name="shkaf_soni">Sozlamalar!$C$40</definedName>
    <definedName name="shkaf_W">Sozlamalar!$C$43</definedName>
    <definedName name="shkurka_norma">Sozlamalar!$C$96</definedName>
    <definedName name="sp_sotuv">Spalniy!$G$48</definedName>
    <definedName name="sp_tan">Spalniy!$F$48</definedName>
    <definedName name="tanlangan_jami">Tariflar!$B$50</definedName>
    <definedName name="tanlangan_label">Tariflar!$B$47</definedName>
    <definedName name="tanlangan_oy">Tariflar!$B$45</definedName>
    <definedName name="tanlangan_oylik">Tariflar!$B$49</definedName>
    <definedName name="tanlangan_q">Tariflar!$B$46</definedName>
    <definedName name="tanlangan_stavka">Tariflar!$B$48</definedName>
    <definedName name="tarif_baza">Tariflar!$C$28</definedName>
    <definedName name="tir">Sozlamalar!$C$28</definedName>
    <definedName name="tolov_turlari">Tariflar!$A$38:$A$42</definedName>
    <definedName name="trimo_D">Sozlamalar!$C$69</definedName>
    <definedName name="trimo_Dk">Sozlamalar!$C$123</definedName>
    <definedName name="trimo_eshikH">Sozlamalar!$C$126</definedName>
    <definedName name="trimo_fasH">Sozlamalar!$C$127</definedName>
    <definedName name="trimo_fasW">Sozlamalar!$C$125</definedName>
    <definedName name="trimo_H">Sozlamalar!$C$70</definedName>
    <definedName name="trimo_kra">Sozlamalar!$C$141</definedName>
    <definedName name="trimo_kyon">Sozlamalar!$C$143</definedName>
    <definedName name="trimo_kyuz">Sozlamalar!$C$142</definedName>
    <definedName name="trimo_naprav">Sozlamalar!$C$130</definedName>
    <definedName name="trimo_petlya">Sozlamalar!$C$131</definedName>
    <definedName name="trimo_qH">Sozlamalar!$C$129</definedName>
    <definedName name="trimo_qW">Sozlamalar!$C$128</definedName>
    <definedName name="trimo_sekW">Sozlamalar!$C$124</definedName>
    <definedName name="trimo_soni">Sozlamalar!$C$67</definedName>
    <definedName name="trimo_W">Sozlamalar!$C$68</definedName>
    <definedName name="trimo_yashik">Sozlamalar!$C$71</definedName>
    <definedName name="tsokol">Sozlamalar!$C$29</definedName>
    <definedName name="tumba_D">Sozlamalar!$C$64</definedName>
    <definedName name="tumba_Dk">Sozlamalar!$C$111</definedName>
    <definedName name="tumba_fasH">Sozlamalar!$C$113</definedName>
    <definedName name="tumba_fasW">Sozlamalar!$C$112</definedName>
    <definedName name="tumba_H">Sozlamalar!$C$65</definedName>
    <definedName name="tumba_kra">Sozlamalar!$C$138</definedName>
    <definedName name="tumba_kyon">Sozlamalar!$C$140</definedName>
    <definedName name="tumba_kyuz">Sozlamalar!$C$139</definedName>
    <definedName name="tumba_naprav">Sozlamalar!$C$116</definedName>
    <definedName name="tumba_qH">Sozlamalar!$C$115</definedName>
    <definedName name="tumba_qW">Sozlamalar!$C$114</definedName>
    <definedName name="tumba_soni">Sozlamalar!$C$62</definedName>
    <definedName name="tumba_W">Sozlamalar!$C$63</definedName>
    <definedName name="tumba_yashik">Sozlamalar!$C$66</definedName>
    <definedName name="upak_koef">Sozlamalar!$C$39</definedName>
    <definedName name="usta_foiz">Sozlamalar!$C$17</definedName>
    <definedName name="usta_foiz_k">Sozlamalar!$C$18</definedName>
    <definedName name="usta_royxat">Ustalar!$B$6:$B$55</definedName>
    <definedName name="ustama_korpus">Sozlamalar!$C$11</definedName>
    <definedName name="ustama_oshxona">Sozlamalar!$C$10</definedName>
    <definedName name="yaxlit">Sozlamalar!$C$12</definedName>
    <definedName name="zazor_chuq">Sozlamalar!$C$32</definedName>
    <definedName name="zazor_dvp">Sozlamalar!$C$34</definedName>
    <definedName name="zazor_nap">Sozlamalar!$C$30</definedName>
    <definedName name="zazor_polka">Sozlamalar!$C$33</definedName>
    <definedName name="zazor_quti">Sozlamalar!$C$31</definedName>
    <definedName name="_xlnm.Print_Area" localSheetId="4">'Mijoz uchun'!$A$1:$F$49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0" i="16" l="1"/>
  <c r="L47" i="7" s="1"/>
  <c r="E49" i="16"/>
  <c r="L20" i="7" s="1"/>
  <c r="E48" i="16"/>
  <c r="L37" i="7" s="1"/>
  <c r="E47" i="16"/>
  <c r="E46" i="16"/>
  <c r="E45" i="16"/>
  <c r="K34" i="7" s="1"/>
  <c r="E44" i="16"/>
  <c r="K20" i="7" s="1"/>
  <c r="E43" i="16"/>
  <c r="K33" i="7" s="1"/>
  <c r="E42" i="16"/>
  <c r="K32" i="7" s="1"/>
  <c r="E41" i="16"/>
  <c r="K31" i="7" s="1"/>
  <c r="E40" i="16"/>
  <c r="K30" i="7" s="1"/>
  <c r="E37" i="16"/>
  <c r="E36" i="16"/>
  <c r="E35" i="16"/>
  <c r="E33" i="16"/>
  <c r="E32" i="16"/>
  <c r="E31" i="16"/>
  <c r="E30" i="16"/>
  <c r="E27" i="16"/>
  <c r="E25" i="16"/>
  <c r="H20" i="7" s="1"/>
  <c r="E24" i="16"/>
  <c r="E23" i="16"/>
  <c r="E15" i="16"/>
  <c r="F25" i="7" s="1"/>
  <c r="Q58" i="15"/>
  <c r="G58" i="15"/>
  <c r="F58" i="15"/>
  <c r="Q57" i="15"/>
  <c r="H57" i="15"/>
  <c r="G57" i="15"/>
  <c r="F57" i="15"/>
  <c r="P57" i="15" s="1"/>
  <c r="Q56" i="15"/>
  <c r="H56" i="15"/>
  <c r="G56" i="15"/>
  <c r="F56" i="15"/>
  <c r="Q55" i="15"/>
  <c r="G55" i="15"/>
  <c r="F55" i="15"/>
  <c r="Q54" i="15"/>
  <c r="P54" i="15"/>
  <c r="E55" i="16" s="1"/>
  <c r="K24" i="7" s="1"/>
  <c r="O54" i="15"/>
  <c r="G54" i="15"/>
  <c r="F54" i="15"/>
  <c r="Q53" i="15"/>
  <c r="H53" i="15"/>
  <c r="G53" i="15"/>
  <c r="F53" i="15"/>
  <c r="I53" i="15" s="1"/>
  <c r="Q52" i="15"/>
  <c r="F52" i="15"/>
  <c r="Q51" i="15"/>
  <c r="P51" i="15"/>
  <c r="O51" i="15"/>
  <c r="H51" i="15"/>
  <c r="N51" i="15" s="1"/>
  <c r="G51" i="15"/>
  <c r="F51" i="15"/>
  <c r="Q50" i="15"/>
  <c r="G50" i="15"/>
  <c r="F50" i="15"/>
  <c r="Q49" i="15"/>
  <c r="H49" i="15"/>
  <c r="Q48" i="15"/>
  <c r="H48" i="15"/>
  <c r="Q47" i="15"/>
  <c r="H47" i="15"/>
  <c r="H45" i="15"/>
  <c r="Q45" i="15" s="1"/>
  <c r="G45" i="15"/>
  <c r="F45" i="15"/>
  <c r="Q44" i="15"/>
  <c r="H44" i="15"/>
  <c r="F44" i="15"/>
  <c r="H43" i="15"/>
  <c r="F43" i="15"/>
  <c r="G42" i="15"/>
  <c r="F42" i="15"/>
  <c r="Q41" i="15"/>
  <c r="F41" i="15"/>
  <c r="Q40" i="15"/>
  <c r="H40" i="15"/>
  <c r="Q39" i="15"/>
  <c r="Q38" i="15"/>
  <c r="H37" i="15"/>
  <c r="F37" i="15"/>
  <c r="Q35" i="15"/>
  <c r="H35" i="15"/>
  <c r="Q34" i="15"/>
  <c r="H33" i="15"/>
  <c r="G33" i="15"/>
  <c r="F33" i="15"/>
  <c r="Q32" i="15"/>
  <c r="H32" i="15"/>
  <c r="F32" i="15"/>
  <c r="G30" i="15"/>
  <c r="F30" i="15"/>
  <c r="Q29" i="15"/>
  <c r="H29" i="15"/>
  <c r="G29" i="15"/>
  <c r="F29" i="15"/>
  <c r="Q28" i="15"/>
  <c r="H28" i="15"/>
  <c r="O28" i="15" s="1"/>
  <c r="G28" i="15"/>
  <c r="F28" i="15"/>
  <c r="Q27" i="15"/>
  <c r="H27" i="15"/>
  <c r="Q26" i="15"/>
  <c r="F26" i="15"/>
  <c r="O24" i="15"/>
  <c r="N24" i="15"/>
  <c r="H24" i="15"/>
  <c r="G24" i="15"/>
  <c r="F24" i="15"/>
  <c r="P24" i="15" s="1"/>
  <c r="Q23" i="15"/>
  <c r="P23" i="15"/>
  <c r="H23" i="15"/>
  <c r="G23" i="15"/>
  <c r="F23" i="15"/>
  <c r="I23" i="15" s="1"/>
  <c r="F22" i="15"/>
  <c r="G21" i="15"/>
  <c r="F21" i="15"/>
  <c r="Q20" i="15"/>
  <c r="K20" i="15"/>
  <c r="J20" i="15"/>
  <c r="D20" i="15"/>
  <c r="Q19" i="15"/>
  <c r="G19" i="15"/>
  <c r="Q18" i="15"/>
  <c r="G18" i="15"/>
  <c r="Q17" i="15"/>
  <c r="Q16" i="15"/>
  <c r="K16" i="15"/>
  <c r="J16" i="15"/>
  <c r="G16" i="15"/>
  <c r="F16" i="15"/>
  <c r="Q15" i="15"/>
  <c r="Q14" i="15"/>
  <c r="Q13" i="15"/>
  <c r="G13" i="15"/>
  <c r="F13" i="15"/>
  <c r="Q11" i="15"/>
  <c r="Q10" i="15"/>
  <c r="Q9" i="15"/>
  <c r="G8" i="15"/>
  <c r="Q7" i="15"/>
  <c r="Q6" i="15"/>
  <c r="F6" i="15"/>
  <c r="C144" i="14"/>
  <c r="C141" i="14"/>
  <c r="C140" i="14"/>
  <c r="C139" i="14"/>
  <c r="C138" i="14"/>
  <c r="E29" i="2" s="1"/>
  <c r="C135" i="14"/>
  <c r="C137" i="14" s="1"/>
  <c r="C132" i="14"/>
  <c r="G52" i="15" s="1"/>
  <c r="C125" i="14"/>
  <c r="G36" i="15" s="1"/>
  <c r="C124" i="14"/>
  <c r="C128" i="14" s="1"/>
  <c r="C123" i="14"/>
  <c r="G35" i="15" s="1"/>
  <c r="C122" i="14"/>
  <c r="C16" i="7" s="1"/>
  <c r="C120" i="14"/>
  <c r="F48" i="15" s="1"/>
  <c r="C119" i="14"/>
  <c r="G46" i="15" s="1"/>
  <c r="C118" i="14"/>
  <c r="F46" i="15" s="1"/>
  <c r="C117" i="14"/>
  <c r="C116" i="14"/>
  <c r="C23" i="16" s="1"/>
  <c r="C114" i="14"/>
  <c r="F27" i="15" s="1"/>
  <c r="C113" i="14"/>
  <c r="C112" i="14"/>
  <c r="F25" i="15" s="1"/>
  <c r="C111" i="14"/>
  <c r="G22" i="15" s="1"/>
  <c r="C108" i="14"/>
  <c r="C107" i="14"/>
  <c r="C82" i="14"/>
  <c r="C77" i="14"/>
  <c r="H54" i="15" s="1"/>
  <c r="C72" i="14"/>
  <c r="C70" i="14"/>
  <c r="C69" i="14"/>
  <c r="C68" i="14"/>
  <c r="C67" i="14"/>
  <c r="C62" i="14"/>
  <c r="C55" i="14"/>
  <c r="C54" i="14"/>
  <c r="C53" i="14"/>
  <c r="G15" i="15" s="1"/>
  <c r="C52" i="14"/>
  <c r="G17" i="15" s="1"/>
  <c r="C51" i="14"/>
  <c r="C50" i="14"/>
  <c r="C109" i="14" s="1"/>
  <c r="F19" i="15" s="1"/>
  <c r="C49" i="14"/>
  <c r="H19" i="15" s="1"/>
  <c r="C45" i="14"/>
  <c r="C44" i="14"/>
  <c r="C101" i="14" s="1"/>
  <c r="C43" i="14"/>
  <c r="C42" i="14"/>
  <c r="C102" i="14" s="1"/>
  <c r="C41" i="14"/>
  <c r="F5" i="15" s="1"/>
  <c r="C40" i="14"/>
  <c r="H6" i="15" s="1"/>
  <c r="C18" i="14"/>
  <c r="C17" i="14"/>
  <c r="B24" i="13"/>
  <c r="D20" i="13"/>
  <c r="B20" i="13"/>
  <c r="D18" i="13"/>
  <c r="C18" i="13"/>
  <c r="D17" i="13"/>
  <c r="C17" i="13"/>
  <c r="D16" i="13"/>
  <c r="C16" i="13"/>
  <c r="D15" i="13"/>
  <c r="C15" i="13"/>
  <c r="D14" i="13"/>
  <c r="C14" i="13"/>
  <c r="D13" i="13"/>
  <c r="C13" i="13"/>
  <c r="C12" i="13"/>
  <c r="C11" i="13"/>
  <c r="C10" i="13"/>
  <c r="C9" i="13"/>
  <c r="B45" i="12"/>
  <c r="B36" i="5" s="1"/>
  <c r="B42" i="12"/>
  <c r="A42" i="12"/>
  <c r="A29" i="1" s="1"/>
  <c r="H41" i="12"/>
  <c r="B41" i="12"/>
  <c r="A41" i="12"/>
  <c r="H40" i="12"/>
  <c r="B40" i="12"/>
  <c r="D42" i="5" s="1"/>
  <c r="A40" i="12"/>
  <c r="H39" i="12"/>
  <c r="B39" i="12"/>
  <c r="A39" i="12"/>
  <c r="D76" i="11"/>
  <c r="M65" i="11"/>
  <c r="L65" i="11"/>
  <c r="K65" i="11"/>
  <c r="M64" i="11"/>
  <c r="L64" i="11"/>
  <c r="K64" i="11"/>
  <c r="M63" i="11"/>
  <c r="M62" i="11"/>
  <c r="L62" i="11"/>
  <c r="M61" i="11"/>
  <c r="M60" i="11"/>
  <c r="L60" i="11"/>
  <c r="M59" i="11"/>
  <c r="M58" i="11"/>
  <c r="M57" i="11"/>
  <c r="L57" i="11"/>
  <c r="K57" i="11"/>
  <c r="M56" i="11"/>
  <c r="K56" i="11"/>
  <c r="M55" i="11"/>
  <c r="L55" i="11"/>
  <c r="K55" i="11"/>
  <c r="J55" i="11"/>
  <c r="M54" i="11"/>
  <c r="K54" i="11"/>
  <c r="M53" i="11"/>
  <c r="M52" i="11"/>
  <c r="L52" i="11"/>
  <c r="K52" i="11"/>
  <c r="J52" i="11"/>
  <c r="H39" i="11"/>
  <c r="G39" i="11"/>
  <c r="D39" i="11"/>
  <c r="F30" i="11"/>
  <c r="H28" i="11"/>
  <c r="H44" i="11" s="1"/>
  <c r="G28" i="11"/>
  <c r="G44" i="11" s="1"/>
  <c r="H23" i="11"/>
  <c r="G23" i="11"/>
  <c r="F23" i="11"/>
  <c r="E23" i="11"/>
  <c r="D23" i="11"/>
  <c r="C23" i="11"/>
  <c r="H22" i="11"/>
  <c r="H24" i="11" s="1"/>
  <c r="G22" i="11"/>
  <c r="G24" i="11" s="1"/>
  <c r="F22" i="11"/>
  <c r="F24" i="11" s="1"/>
  <c r="E22" i="11"/>
  <c r="E24" i="11" s="1"/>
  <c r="D22" i="11"/>
  <c r="D24" i="11" s="1"/>
  <c r="C22" i="11"/>
  <c r="H21" i="11"/>
  <c r="G21" i="11"/>
  <c r="F21" i="11"/>
  <c r="E21" i="11"/>
  <c r="D21" i="11"/>
  <c r="C21" i="11"/>
  <c r="H20" i="11"/>
  <c r="G20" i="11"/>
  <c r="F20" i="11"/>
  <c r="E20" i="11"/>
  <c r="D20" i="11"/>
  <c r="C20" i="11"/>
  <c r="H19" i="11"/>
  <c r="G19" i="11"/>
  <c r="F19" i="11"/>
  <c r="E19" i="11"/>
  <c r="D19" i="11"/>
  <c r="C19" i="11"/>
  <c r="H18" i="11"/>
  <c r="G18" i="11"/>
  <c r="F18" i="11"/>
  <c r="E18" i="11"/>
  <c r="D18" i="11"/>
  <c r="C18" i="11"/>
  <c r="H17" i="11"/>
  <c r="G17" i="11"/>
  <c r="F17" i="11"/>
  <c r="E17" i="11"/>
  <c r="D17" i="11"/>
  <c r="C17" i="11"/>
  <c r="F16" i="11"/>
  <c r="H14" i="11"/>
  <c r="G14" i="11"/>
  <c r="E14" i="11"/>
  <c r="D14" i="11"/>
  <c r="D28" i="11" s="1"/>
  <c r="H13" i="11"/>
  <c r="G13" i="11"/>
  <c r="F13" i="11"/>
  <c r="E13" i="11"/>
  <c r="D13" i="11"/>
  <c r="D27" i="11" s="1"/>
  <c r="C13" i="11"/>
  <c r="H12" i="11"/>
  <c r="G12" i="11"/>
  <c r="F12" i="11"/>
  <c r="F15" i="11" s="1"/>
  <c r="E12" i="11"/>
  <c r="D12" i="11"/>
  <c r="C12" i="11"/>
  <c r="D11" i="11"/>
  <c r="H10" i="11"/>
  <c r="G10" i="11"/>
  <c r="F10" i="11"/>
  <c r="F27" i="11" s="1"/>
  <c r="E10" i="11"/>
  <c r="D10" i="11"/>
  <c r="C10" i="11"/>
  <c r="H9" i="11"/>
  <c r="G9" i="11"/>
  <c r="F9" i="11"/>
  <c r="E9" i="11"/>
  <c r="D9" i="11"/>
  <c r="C9" i="11"/>
  <c r="H8" i="11"/>
  <c r="G8" i="11"/>
  <c r="F8" i="11"/>
  <c r="E8" i="11"/>
  <c r="D8" i="11"/>
  <c r="C8" i="11"/>
  <c r="C11" i="11" s="1"/>
  <c r="H7" i="11"/>
  <c r="G7" i="11"/>
  <c r="G11" i="11" s="1"/>
  <c r="F7" i="11"/>
  <c r="F90" i="11" s="1"/>
  <c r="E7" i="11"/>
  <c r="D7" i="11"/>
  <c r="C7" i="11"/>
  <c r="D19" i="13" s="1"/>
  <c r="H6" i="11"/>
  <c r="G6" i="11"/>
  <c r="B23" i="13" s="1"/>
  <c r="F6" i="11"/>
  <c r="B22" i="13" s="1"/>
  <c r="E6" i="11"/>
  <c r="B21" i="13" s="1"/>
  <c r="D6" i="11"/>
  <c r="C6" i="11"/>
  <c r="B19" i="13" s="1"/>
  <c r="B45" i="10"/>
  <c r="C44" i="10"/>
  <c r="D10" i="13" s="1"/>
  <c r="B44" i="10"/>
  <c r="B45" i="2" s="1"/>
  <c r="B43" i="10"/>
  <c r="B42" i="10"/>
  <c r="C41" i="10"/>
  <c r="D7" i="13" s="1"/>
  <c r="B41" i="10"/>
  <c r="B40" i="10"/>
  <c r="B41" i="2" s="1"/>
  <c r="B38" i="10"/>
  <c r="C4" i="13" s="1"/>
  <c r="B33" i="10"/>
  <c r="I29" i="10"/>
  <c r="D29" i="10"/>
  <c r="I27" i="10"/>
  <c r="F27" i="10"/>
  <c r="E27" i="10"/>
  <c r="B27" i="10"/>
  <c r="J26" i="10"/>
  <c r="I26" i="10"/>
  <c r="H26" i="10"/>
  <c r="D26" i="10"/>
  <c r="C26" i="10"/>
  <c r="E6" i="10"/>
  <c r="B6" i="10"/>
  <c r="I5" i="10"/>
  <c r="H5" i="10"/>
  <c r="G5" i="10"/>
  <c r="F5" i="10"/>
  <c r="E5" i="10"/>
  <c r="O35" i="8"/>
  <c r="K35" i="8"/>
  <c r="O34" i="8"/>
  <c r="O33" i="8"/>
  <c r="O32" i="8"/>
  <c r="O31" i="8"/>
  <c r="O30" i="8"/>
  <c r="O29" i="8"/>
  <c r="O28" i="8"/>
  <c r="O27" i="8"/>
  <c r="F27" i="8"/>
  <c r="O26" i="8"/>
  <c r="F26" i="8"/>
  <c r="O25" i="8"/>
  <c r="O24" i="8"/>
  <c r="O23" i="8"/>
  <c r="O22" i="8"/>
  <c r="C22" i="8"/>
  <c r="O21" i="8"/>
  <c r="O20" i="8"/>
  <c r="O19" i="8"/>
  <c r="L63" i="11" s="1"/>
  <c r="O18" i="8"/>
  <c r="O17" i="8"/>
  <c r="L61" i="11" s="1"/>
  <c r="O16" i="8"/>
  <c r="O15" i="8"/>
  <c r="L59" i="11" s="1"/>
  <c r="O14" i="8"/>
  <c r="L58" i="11" s="1"/>
  <c r="N13" i="8"/>
  <c r="M13" i="8"/>
  <c r="O13" i="8" s="1"/>
  <c r="K13" i="8"/>
  <c r="E13" i="8"/>
  <c r="N12" i="8"/>
  <c r="O12" i="8" s="1"/>
  <c r="M12" i="8"/>
  <c r="K12" i="8"/>
  <c r="I12" i="8"/>
  <c r="H12" i="8"/>
  <c r="G12" i="8"/>
  <c r="F12" i="8"/>
  <c r="E12" i="8"/>
  <c r="J12" i="8" s="1"/>
  <c r="L12" i="8" s="1"/>
  <c r="P12" i="8" s="1"/>
  <c r="Q12" i="8" s="1"/>
  <c r="N11" i="8"/>
  <c r="M11" i="8"/>
  <c r="O11" i="8" s="1"/>
  <c r="K11" i="8"/>
  <c r="H11" i="8"/>
  <c r="G11" i="8"/>
  <c r="F11" i="8"/>
  <c r="E11" i="8"/>
  <c r="O10" i="8"/>
  <c r="O9" i="8"/>
  <c r="L56" i="11" s="1"/>
  <c r="O8" i="8"/>
  <c r="H8" i="8"/>
  <c r="G8" i="8"/>
  <c r="F8" i="8"/>
  <c r="O7" i="8"/>
  <c r="L54" i="11" s="1"/>
  <c r="O6" i="8"/>
  <c r="L53" i="11" s="1"/>
  <c r="O5" i="8"/>
  <c r="D3" i="8"/>
  <c r="S49" i="7"/>
  <c r="O49" i="7"/>
  <c r="S48" i="7"/>
  <c r="M48" i="7"/>
  <c r="L48" i="7"/>
  <c r="K48" i="7"/>
  <c r="H48" i="7"/>
  <c r="G48" i="7"/>
  <c r="E48" i="7"/>
  <c r="S47" i="7"/>
  <c r="M47" i="7"/>
  <c r="K47" i="7"/>
  <c r="H47" i="7"/>
  <c r="G47" i="7"/>
  <c r="F47" i="7"/>
  <c r="S46" i="7"/>
  <c r="N46" i="7"/>
  <c r="P46" i="7" s="1"/>
  <c r="T46" i="7" s="1"/>
  <c r="U46" i="7" s="1"/>
  <c r="S45" i="7"/>
  <c r="N45" i="7"/>
  <c r="P45" i="7" s="1"/>
  <c r="T45" i="7" s="1"/>
  <c r="U45" i="7" s="1"/>
  <c r="S44" i="7"/>
  <c r="N44" i="7"/>
  <c r="P44" i="7" s="1"/>
  <c r="T44" i="7" s="1"/>
  <c r="U44" i="7" s="1"/>
  <c r="S43" i="7"/>
  <c r="T43" i="7" s="1"/>
  <c r="U43" i="7" s="1"/>
  <c r="P43" i="7"/>
  <c r="N43" i="7"/>
  <c r="S42" i="7"/>
  <c r="L42" i="7"/>
  <c r="K42" i="7"/>
  <c r="H42" i="7"/>
  <c r="G42" i="7"/>
  <c r="F42" i="7"/>
  <c r="E42" i="7"/>
  <c r="S41" i="7"/>
  <c r="L41" i="7"/>
  <c r="K41" i="7"/>
  <c r="G41" i="7"/>
  <c r="F41" i="7"/>
  <c r="E41" i="7"/>
  <c r="S40" i="7"/>
  <c r="L40" i="7"/>
  <c r="K40" i="7"/>
  <c r="G40" i="7"/>
  <c r="F40" i="7"/>
  <c r="E40" i="7"/>
  <c r="S39" i="7"/>
  <c r="L39" i="7"/>
  <c r="K39" i="7"/>
  <c r="H39" i="7"/>
  <c r="G39" i="7"/>
  <c r="F39" i="7"/>
  <c r="E39" i="7"/>
  <c r="R38" i="7"/>
  <c r="S38" i="7" s="1"/>
  <c r="M38" i="7"/>
  <c r="L38" i="7"/>
  <c r="K38" i="7"/>
  <c r="H38" i="7"/>
  <c r="F38" i="7"/>
  <c r="E38" i="7"/>
  <c r="S37" i="7"/>
  <c r="M37" i="7"/>
  <c r="K37" i="7"/>
  <c r="H37" i="7"/>
  <c r="G37" i="7"/>
  <c r="F37" i="7"/>
  <c r="E37" i="7"/>
  <c r="S36" i="7"/>
  <c r="M36" i="7"/>
  <c r="L36" i="7"/>
  <c r="K36" i="7"/>
  <c r="H36" i="7"/>
  <c r="G36" i="7"/>
  <c r="F36" i="7"/>
  <c r="S35" i="7"/>
  <c r="M35" i="7"/>
  <c r="L35" i="7"/>
  <c r="K35" i="7"/>
  <c r="G35" i="7"/>
  <c r="F35" i="7"/>
  <c r="E35" i="7"/>
  <c r="S34" i="7"/>
  <c r="M34" i="7"/>
  <c r="L34" i="7"/>
  <c r="H34" i="7"/>
  <c r="G34" i="7"/>
  <c r="F34" i="7"/>
  <c r="E34" i="7"/>
  <c r="S33" i="7"/>
  <c r="M33" i="7"/>
  <c r="L33" i="7"/>
  <c r="H33" i="7"/>
  <c r="G33" i="7"/>
  <c r="F33" i="7"/>
  <c r="E33" i="7"/>
  <c r="S32" i="7"/>
  <c r="M32" i="7"/>
  <c r="L32" i="7"/>
  <c r="H32" i="7"/>
  <c r="G32" i="7"/>
  <c r="F32" i="7"/>
  <c r="E32" i="7"/>
  <c r="S31" i="7"/>
  <c r="M31" i="7"/>
  <c r="L31" i="7"/>
  <c r="H31" i="7"/>
  <c r="G31" i="7"/>
  <c r="F31" i="7"/>
  <c r="E31" i="7"/>
  <c r="S30" i="7"/>
  <c r="M30" i="7"/>
  <c r="L30" i="7"/>
  <c r="H30" i="7"/>
  <c r="G30" i="7"/>
  <c r="F30" i="7"/>
  <c r="E30" i="7"/>
  <c r="S29" i="7"/>
  <c r="M29" i="7"/>
  <c r="L29" i="7"/>
  <c r="K29" i="7"/>
  <c r="H29" i="7"/>
  <c r="G29" i="7"/>
  <c r="E29" i="7"/>
  <c r="S28" i="7"/>
  <c r="M28" i="7"/>
  <c r="L28" i="7"/>
  <c r="K28" i="7"/>
  <c r="H28" i="7"/>
  <c r="G28" i="7"/>
  <c r="E28" i="7"/>
  <c r="S27" i="7"/>
  <c r="M27" i="7"/>
  <c r="L27" i="7"/>
  <c r="K27" i="7"/>
  <c r="H27" i="7"/>
  <c r="G27" i="7"/>
  <c r="E27" i="7"/>
  <c r="S26" i="7"/>
  <c r="M26" i="7"/>
  <c r="L26" i="7"/>
  <c r="K26" i="7"/>
  <c r="G26" i="7"/>
  <c r="E26" i="7"/>
  <c r="S25" i="7"/>
  <c r="M25" i="7"/>
  <c r="L25" i="7"/>
  <c r="K25" i="7"/>
  <c r="G25" i="7"/>
  <c r="E25" i="7"/>
  <c r="S24" i="7"/>
  <c r="M24" i="7"/>
  <c r="L24" i="7"/>
  <c r="G24" i="7"/>
  <c r="F24" i="7"/>
  <c r="S23" i="7"/>
  <c r="M23" i="7"/>
  <c r="L23" i="7"/>
  <c r="K23" i="7"/>
  <c r="H23" i="7"/>
  <c r="G23" i="7"/>
  <c r="E23" i="7"/>
  <c r="S22" i="7"/>
  <c r="M22" i="7"/>
  <c r="L22" i="7"/>
  <c r="K22" i="7"/>
  <c r="H22" i="7"/>
  <c r="G22" i="7"/>
  <c r="F22" i="7"/>
  <c r="S21" i="7"/>
  <c r="M21" i="7"/>
  <c r="L21" i="7"/>
  <c r="K21" i="7"/>
  <c r="G21" i="7"/>
  <c r="F21" i="7"/>
  <c r="S20" i="7"/>
  <c r="M20" i="7"/>
  <c r="G20" i="7"/>
  <c r="S19" i="7"/>
  <c r="M19" i="7"/>
  <c r="L19" i="7"/>
  <c r="K19" i="7"/>
  <c r="H19" i="7"/>
  <c r="G19" i="7"/>
  <c r="F19" i="7"/>
  <c r="S18" i="7"/>
  <c r="M18" i="7"/>
  <c r="L18" i="7"/>
  <c r="K18" i="7"/>
  <c r="G18" i="7"/>
  <c r="F18" i="7"/>
  <c r="S17" i="7"/>
  <c r="M17" i="7"/>
  <c r="L17" i="7"/>
  <c r="K17" i="7"/>
  <c r="H17" i="7"/>
  <c r="G17" i="7"/>
  <c r="F17" i="7"/>
  <c r="S16" i="7"/>
  <c r="S15" i="7"/>
  <c r="S14" i="7"/>
  <c r="M14" i="7"/>
  <c r="C14" i="7"/>
  <c r="S13" i="7"/>
  <c r="J65" i="11" s="1"/>
  <c r="M13" i="7"/>
  <c r="L13" i="7"/>
  <c r="K13" i="7"/>
  <c r="G13" i="7"/>
  <c r="F13" i="7"/>
  <c r="S12" i="7"/>
  <c r="J64" i="11" s="1"/>
  <c r="M12" i="7"/>
  <c r="L12" i="7"/>
  <c r="K12" i="7"/>
  <c r="G12" i="7"/>
  <c r="F12" i="7"/>
  <c r="S11" i="7"/>
  <c r="J57" i="11" s="1"/>
  <c r="M11" i="7"/>
  <c r="G11" i="7"/>
  <c r="S10" i="7"/>
  <c r="J56" i="11" s="1"/>
  <c r="M10" i="7"/>
  <c r="G10" i="7"/>
  <c r="S9" i="7"/>
  <c r="M9" i="7"/>
  <c r="K9" i="7"/>
  <c r="J9" i="7"/>
  <c r="I9" i="7"/>
  <c r="H9" i="7"/>
  <c r="G9" i="7"/>
  <c r="S8" i="7"/>
  <c r="J54" i="11" s="1"/>
  <c r="M8" i="7"/>
  <c r="J29" i="10" s="1"/>
  <c r="L8" i="7"/>
  <c r="G8" i="7"/>
  <c r="S7" i="7"/>
  <c r="M7" i="7"/>
  <c r="J28" i="10" s="1"/>
  <c r="L7" i="7"/>
  <c r="I28" i="10" s="1"/>
  <c r="K7" i="7"/>
  <c r="H28" i="10" s="1"/>
  <c r="J7" i="7"/>
  <c r="I7" i="7"/>
  <c r="H7" i="7"/>
  <c r="E28" i="10" s="1"/>
  <c r="G7" i="7"/>
  <c r="D28" i="10" s="1"/>
  <c r="F7" i="7"/>
  <c r="C28" i="10" s="1"/>
  <c r="E7" i="7"/>
  <c r="S6" i="7"/>
  <c r="M6" i="7"/>
  <c r="L6" i="7"/>
  <c r="K6" i="7"/>
  <c r="H27" i="10" s="1"/>
  <c r="J6" i="7"/>
  <c r="I6" i="7"/>
  <c r="H6" i="7"/>
  <c r="G6" i="7"/>
  <c r="D27" i="10" s="1"/>
  <c r="E6" i="7"/>
  <c r="S5" i="7"/>
  <c r="M5" i="7"/>
  <c r="G5" i="7"/>
  <c r="D3" i="7"/>
  <c r="B43" i="5"/>
  <c r="B42" i="5"/>
  <c r="D41" i="5"/>
  <c r="B41" i="5"/>
  <c r="B40" i="5"/>
  <c r="C36" i="5"/>
  <c r="C35" i="5"/>
  <c r="B35" i="5"/>
  <c r="B34" i="5"/>
  <c r="C33" i="5"/>
  <c r="C8" i="5"/>
  <c r="B8" i="5"/>
  <c r="C7" i="5"/>
  <c r="F6" i="5"/>
  <c r="C6" i="5"/>
  <c r="A2" i="5"/>
  <c r="A1" i="5"/>
  <c r="A42" i="4"/>
  <c r="A41" i="4"/>
  <c r="D4" i="4"/>
  <c r="A19" i="3"/>
  <c r="D11" i="3"/>
  <c r="E10" i="3"/>
  <c r="G10" i="3" s="1"/>
  <c r="E9" i="3"/>
  <c r="G9" i="3" s="1"/>
  <c r="E8" i="3"/>
  <c r="G8" i="3" s="1"/>
  <c r="E7" i="3"/>
  <c r="G7" i="3" s="1"/>
  <c r="H7" i="3" s="1"/>
  <c r="I7" i="3" s="1"/>
  <c r="E6" i="3"/>
  <c r="G6" i="3" s="1"/>
  <c r="J6" i="3" s="1"/>
  <c r="E5" i="3"/>
  <c r="A60" i="2"/>
  <c r="A59" i="2"/>
  <c r="C53" i="2"/>
  <c r="B47" i="2"/>
  <c r="C46" i="2"/>
  <c r="B46" i="2"/>
  <c r="C45" i="2"/>
  <c r="C44" i="2"/>
  <c r="B44" i="2"/>
  <c r="C42" i="2"/>
  <c r="B39" i="2"/>
  <c r="E37" i="2"/>
  <c r="E35" i="2"/>
  <c r="E34" i="2"/>
  <c r="E33" i="2"/>
  <c r="E32" i="2"/>
  <c r="E30" i="2"/>
  <c r="E27" i="2"/>
  <c r="E19" i="2"/>
  <c r="E18" i="2"/>
  <c r="E12" i="2"/>
  <c r="A28" i="1"/>
  <c r="C27" i="1"/>
  <c r="A27" i="1"/>
  <c r="C26" i="1"/>
  <c r="A26" i="1"/>
  <c r="E25" i="1"/>
  <c r="D25" i="1"/>
  <c r="C25" i="1"/>
  <c r="B25" i="1"/>
  <c r="A25" i="1"/>
  <c r="G13" i="1"/>
  <c r="E13" i="1"/>
  <c r="D13" i="1"/>
  <c r="G12" i="1"/>
  <c r="E12" i="1"/>
  <c r="D12" i="1"/>
  <c r="B6" i="1"/>
  <c r="A46" i="5" s="1"/>
  <c r="F13" i="1" l="1"/>
  <c r="K6" i="3"/>
  <c r="F14" i="13" s="1"/>
  <c r="G14" i="13" s="1"/>
  <c r="H14" i="13" s="1"/>
  <c r="E14" i="13"/>
  <c r="F12" i="1"/>
  <c r="H6" i="3"/>
  <c r="I6" i="3" s="1"/>
  <c r="J7" i="3"/>
  <c r="F7" i="5"/>
  <c r="D33" i="11"/>
  <c r="D42" i="11" s="1"/>
  <c r="D38" i="11"/>
  <c r="J8" i="3"/>
  <c r="H8" i="3"/>
  <c r="I8" i="3" s="1"/>
  <c r="N6" i="15"/>
  <c r="K16" i="7"/>
  <c r="M16" i="7"/>
  <c r="F16" i="7"/>
  <c r="L16" i="7"/>
  <c r="J16" i="7"/>
  <c r="H16" i="7"/>
  <c r="G16" i="7"/>
  <c r="E16" i="7"/>
  <c r="E22" i="13"/>
  <c r="F91" i="11"/>
  <c r="F22" i="13" s="1"/>
  <c r="G22" i="13" s="1"/>
  <c r="H22" i="13" s="1"/>
  <c r="G11" i="15"/>
  <c r="G5" i="15"/>
  <c r="P5" i="15" s="1"/>
  <c r="G7" i="15"/>
  <c r="G10" i="15"/>
  <c r="G9" i="15"/>
  <c r="G6" i="15"/>
  <c r="O6" i="15" s="1"/>
  <c r="G34" i="4"/>
  <c r="G36" i="4"/>
  <c r="G31" i="4"/>
  <c r="G69" i="11"/>
  <c r="G68" i="11"/>
  <c r="G38" i="4"/>
  <c r="C23" i="13" s="1"/>
  <c r="G73" i="11"/>
  <c r="G65" i="11"/>
  <c r="G33" i="4"/>
  <c r="G27" i="4"/>
  <c r="G32" i="4"/>
  <c r="G76" i="11"/>
  <c r="G71" i="11"/>
  <c r="G70" i="11"/>
  <c r="G30" i="4"/>
  <c r="G29" i="4"/>
  <c r="G67" i="11"/>
  <c r="G26" i="4"/>
  <c r="G75" i="11"/>
  <c r="G35" i="4"/>
  <c r="G72" i="11"/>
  <c r="E8" i="16"/>
  <c r="E11" i="16"/>
  <c r="E10" i="16"/>
  <c r="C104" i="14"/>
  <c r="H14" i="15"/>
  <c r="G14" i="15"/>
  <c r="C103" i="14"/>
  <c r="H10" i="15"/>
  <c r="H9" i="15"/>
  <c r="C75" i="11"/>
  <c r="C72" i="11"/>
  <c r="C26" i="4"/>
  <c r="C65" i="11"/>
  <c r="C76" i="11"/>
  <c r="C70" i="11"/>
  <c r="C71" i="11"/>
  <c r="C69" i="11"/>
  <c r="C67" i="11"/>
  <c r="C27" i="4"/>
  <c r="E10" i="2"/>
  <c r="G28" i="4"/>
  <c r="O19" i="15"/>
  <c r="N19" i="15"/>
  <c r="P19" i="15"/>
  <c r="I19" i="15"/>
  <c r="D41" i="11"/>
  <c r="F48" i="11"/>
  <c r="F33" i="11"/>
  <c r="F38" i="11"/>
  <c r="G5" i="3"/>
  <c r="A18" i="3"/>
  <c r="B5" i="10"/>
  <c r="H27" i="11"/>
  <c r="C14" i="11"/>
  <c r="C73" i="11" s="1"/>
  <c r="F3" i="8"/>
  <c r="E20" i="10" s="1"/>
  <c r="B53" i="2" s="1"/>
  <c r="K7" i="3"/>
  <c r="F15" i="13" s="1"/>
  <c r="G15" i="13" s="1"/>
  <c r="H15" i="13" s="1"/>
  <c r="E15" i="13"/>
  <c r="F28" i="8"/>
  <c r="C54" i="2"/>
  <c r="C43" i="2"/>
  <c r="C42" i="10"/>
  <c r="D8" i="13" s="1"/>
  <c r="E28" i="11"/>
  <c r="E39" i="11"/>
  <c r="P53" i="15"/>
  <c r="N7" i="7"/>
  <c r="P7" i="7" s="1"/>
  <c r="T7" i="7" s="1"/>
  <c r="U7" i="7" s="1"/>
  <c r="B28" i="10"/>
  <c r="C43" i="10"/>
  <c r="D9" i="13" s="1"/>
  <c r="C55" i="2"/>
  <c r="F28" i="11"/>
  <c r="F39" i="11"/>
  <c r="F14" i="11"/>
  <c r="C39" i="11"/>
  <c r="F35" i="15"/>
  <c r="N35" i="15" s="1"/>
  <c r="C7" i="13"/>
  <c r="B42" i="2"/>
  <c r="C29" i="1"/>
  <c r="I45" i="15"/>
  <c r="C35" i="16"/>
  <c r="H22" i="8" s="1"/>
  <c r="F22" i="8"/>
  <c r="H42" i="12"/>
  <c r="P6" i="15"/>
  <c r="I6" i="15"/>
  <c r="N45" i="15"/>
  <c r="E22" i="8"/>
  <c r="O45" i="15"/>
  <c r="B46" i="12"/>
  <c r="C8" i="13"/>
  <c r="B43" i="2"/>
  <c r="F18" i="15"/>
  <c r="F41" i="11"/>
  <c r="C6" i="13"/>
  <c r="I28" i="15"/>
  <c r="P28" i="15"/>
  <c r="B44" i="5"/>
  <c r="P56" i="15"/>
  <c r="I56" i="15"/>
  <c r="D44" i="5"/>
  <c r="E44" i="11"/>
  <c r="N28" i="15"/>
  <c r="G27" i="11"/>
  <c r="F42" i="11"/>
  <c r="F44" i="11"/>
  <c r="F49" i="15"/>
  <c r="D72" i="11"/>
  <c r="D69" i="11"/>
  <c r="D75" i="11"/>
  <c r="D26" i="4"/>
  <c r="D65" i="11"/>
  <c r="D73" i="11"/>
  <c r="D68" i="11"/>
  <c r="D70" i="11"/>
  <c r="D71" i="11"/>
  <c r="D54" i="11"/>
  <c r="E27" i="11"/>
  <c r="E41" i="11" s="1"/>
  <c r="F9" i="7"/>
  <c r="F8" i="7"/>
  <c r="C29" i="10" s="1"/>
  <c r="C20" i="1"/>
  <c r="H5" i="15"/>
  <c r="H8" i="15"/>
  <c r="H11" i="15"/>
  <c r="C105" i="14"/>
  <c r="F14" i="15"/>
  <c r="F9" i="15"/>
  <c r="E9" i="16"/>
  <c r="C121" i="14"/>
  <c r="E14" i="16"/>
  <c r="F47" i="15"/>
  <c r="C24" i="8"/>
  <c r="G49" i="15"/>
  <c r="H12" i="15"/>
  <c r="E6" i="16"/>
  <c r="G34" i="15"/>
  <c r="G31" i="15"/>
  <c r="C130" i="14"/>
  <c r="G32" i="15"/>
  <c r="D21" i="13"/>
  <c r="E11" i="11"/>
  <c r="D15" i="11"/>
  <c r="D34" i="11" s="1"/>
  <c r="E13" i="16"/>
  <c r="H13" i="15"/>
  <c r="F39" i="15"/>
  <c r="F40" i="15"/>
  <c r="P13" i="15"/>
  <c r="I13" i="15"/>
  <c r="D22" i="13"/>
  <c r="F11" i="11"/>
  <c r="E56" i="16"/>
  <c r="G38" i="7" s="1"/>
  <c r="E17" i="16"/>
  <c r="F27" i="7" s="1"/>
  <c r="D5" i="10"/>
  <c r="C5" i="10"/>
  <c r="E16" i="16"/>
  <c r="F26" i="7" s="1"/>
  <c r="E19" i="16"/>
  <c r="F20" i="7" s="1"/>
  <c r="H18" i="15"/>
  <c r="H17" i="15"/>
  <c r="H20" i="15"/>
  <c r="H15" i="15"/>
  <c r="I43" i="15"/>
  <c r="Q43" i="15"/>
  <c r="P43" i="15"/>
  <c r="G90" i="11"/>
  <c r="D23" i="13"/>
  <c r="E18" i="16"/>
  <c r="F28" i="7" s="1"/>
  <c r="E20" i="16"/>
  <c r="F23" i="7" s="1"/>
  <c r="F20" i="15"/>
  <c r="P33" i="15"/>
  <c r="I33" i="15"/>
  <c r="J27" i="10"/>
  <c r="M49" i="7"/>
  <c r="H11" i="11"/>
  <c r="H90" i="11"/>
  <c r="D24" i="13"/>
  <c r="G34" i="11"/>
  <c r="C110" i="14"/>
  <c r="F17" i="15"/>
  <c r="F15" i="15"/>
  <c r="C28" i="11"/>
  <c r="C68" i="11" s="1"/>
  <c r="C15" i="11"/>
  <c r="E21" i="16"/>
  <c r="F48" i="7" s="1"/>
  <c r="H16" i="15"/>
  <c r="B39" i="10"/>
  <c r="O56" i="15"/>
  <c r="N56" i="15"/>
  <c r="E26" i="2"/>
  <c r="F28" i="10"/>
  <c r="J9" i="3"/>
  <c r="H9" i="3"/>
  <c r="I9" i="3" s="1"/>
  <c r="C45" i="10"/>
  <c r="D11" i="13" s="1"/>
  <c r="C142" i="14"/>
  <c r="J10" i="3"/>
  <c r="H10" i="3"/>
  <c r="I10" i="3" s="1"/>
  <c r="C143" i="14"/>
  <c r="I32" i="15"/>
  <c r="G6" i="10"/>
  <c r="G28" i="10"/>
  <c r="J25" i="10"/>
  <c r="F6" i="10"/>
  <c r="H15" i="11"/>
  <c r="C145" i="14"/>
  <c r="Q24" i="15"/>
  <c r="N32" i="15"/>
  <c r="O32" i="15"/>
  <c r="C27" i="11"/>
  <c r="C127" i="14"/>
  <c r="F34" i="15"/>
  <c r="G41" i="15"/>
  <c r="C126" i="14"/>
  <c r="F31" i="15"/>
  <c r="C146" i="14"/>
  <c r="I24" i="15"/>
  <c r="P32" i="15"/>
  <c r="P29" i="15"/>
  <c r="I29" i="15"/>
  <c r="F8" i="15"/>
  <c r="F7" i="15"/>
  <c r="D37" i="11"/>
  <c r="D29" i="11"/>
  <c r="D40" i="11" s="1"/>
  <c r="D48" i="11"/>
  <c r="D57" i="11" s="1"/>
  <c r="O57" i="15"/>
  <c r="H14" i="7"/>
  <c r="L14" i="7"/>
  <c r="K14" i="7"/>
  <c r="J14" i="7"/>
  <c r="E29" i="11"/>
  <c r="I44" i="15"/>
  <c r="I57" i="15"/>
  <c r="E14" i="7"/>
  <c r="F37" i="11"/>
  <c r="F29" i="11"/>
  <c r="N57" i="15"/>
  <c r="F14" i="7"/>
  <c r="G29" i="11"/>
  <c r="G40" i="11" s="1"/>
  <c r="C24" i="11"/>
  <c r="O44" i="15"/>
  <c r="G14" i="7"/>
  <c r="H37" i="11"/>
  <c r="H29" i="11"/>
  <c r="H40" i="11" s="1"/>
  <c r="F29" i="8"/>
  <c r="H26" i="7"/>
  <c r="H12" i="7"/>
  <c r="H40" i="7"/>
  <c r="F13" i="8"/>
  <c r="F25" i="8"/>
  <c r="H13" i="7"/>
  <c r="H35" i="7"/>
  <c r="H18" i="7"/>
  <c r="H25" i="7"/>
  <c r="F32" i="8"/>
  <c r="F33" i="8"/>
  <c r="F21" i="8"/>
  <c r="H41" i="7"/>
  <c r="F20" i="8"/>
  <c r="F30" i="8"/>
  <c r="I51" i="15"/>
  <c r="G44" i="15"/>
  <c r="P44" i="15" s="1"/>
  <c r="G43" i="15"/>
  <c r="O43" i="15" s="1"/>
  <c r="P16" i="15"/>
  <c r="P58" i="15"/>
  <c r="I58" i="15"/>
  <c r="L9" i="7" s="1"/>
  <c r="I52" i="15"/>
  <c r="G27" i="10"/>
  <c r="E15" i="11"/>
  <c r="Q33" i="15"/>
  <c r="O33" i="15"/>
  <c r="F31" i="11"/>
  <c r="F32" i="11" s="1"/>
  <c r="F34" i="11"/>
  <c r="G15" i="11"/>
  <c r="C115" i="14"/>
  <c r="G25" i="15"/>
  <c r="N33" i="15"/>
  <c r="P52" i="15"/>
  <c r="O29" i="15"/>
  <c r="N53" i="15"/>
  <c r="C28" i="1"/>
  <c r="N23" i="15"/>
  <c r="N29" i="15"/>
  <c r="D43" i="5"/>
  <c r="C29" i="11"/>
  <c r="C48" i="11"/>
  <c r="H7" i="15"/>
  <c r="E8" i="2"/>
  <c r="O23" i="15"/>
  <c r="O53" i="15"/>
  <c r="H41" i="11"/>
  <c r="D25" i="10"/>
  <c r="G49" i="7"/>
  <c r="N54" i="15"/>
  <c r="I54" i="15"/>
  <c r="K8" i="7" s="1"/>
  <c r="H29" i="10" s="1"/>
  <c r="H38" i="11"/>
  <c r="P55" i="15"/>
  <c r="D44" i="11"/>
  <c r="P45" i="15"/>
  <c r="E22" i="16"/>
  <c r="E29" i="16"/>
  <c r="H38" i="15"/>
  <c r="H34" i="15"/>
  <c r="H30" i="15"/>
  <c r="H39" i="15"/>
  <c r="H31" i="15"/>
  <c r="H36" i="15"/>
  <c r="H41" i="15"/>
  <c r="H26" i="15"/>
  <c r="H22" i="15"/>
  <c r="I22" i="15" s="1"/>
  <c r="E26" i="16"/>
  <c r="H21" i="7" s="1"/>
  <c r="H25" i="15"/>
  <c r="H21" i="15"/>
  <c r="I21" i="15" s="1"/>
  <c r="H50" i="15"/>
  <c r="H46" i="15"/>
  <c r="H42" i="15"/>
  <c r="P42" i="15" s="1"/>
  <c r="E39" i="16"/>
  <c r="E38" i="16"/>
  <c r="C136" i="14"/>
  <c r="H52" i="15"/>
  <c r="H58" i="15"/>
  <c r="H55" i="15"/>
  <c r="I68" i="11" l="1"/>
  <c r="I49" i="15"/>
  <c r="P49" i="15"/>
  <c r="E54" i="16" s="1"/>
  <c r="H31" i="8" s="1"/>
  <c r="O49" i="15"/>
  <c r="E24" i="13"/>
  <c r="H91" i="11"/>
  <c r="F24" i="13" s="1"/>
  <c r="G24" i="13" s="1"/>
  <c r="H24" i="13" s="1"/>
  <c r="P40" i="15"/>
  <c r="E53" i="16" s="1"/>
  <c r="I40" i="15"/>
  <c r="O8" i="15"/>
  <c r="N8" i="15"/>
  <c r="Q8" i="15"/>
  <c r="F46" i="11"/>
  <c r="F52" i="11" s="1"/>
  <c r="E48" i="11"/>
  <c r="E57" i="11" s="1"/>
  <c r="H29" i="4"/>
  <c r="H36" i="4"/>
  <c r="H31" i="4"/>
  <c r="H69" i="11"/>
  <c r="H68" i="11"/>
  <c r="H35" i="4"/>
  <c r="H73" i="11"/>
  <c r="H38" i="4"/>
  <c r="C24" i="13" s="1"/>
  <c r="H77" i="11"/>
  <c r="H27" i="4"/>
  <c r="H64" i="11"/>
  <c r="H32" i="4"/>
  <c r="H65" i="11"/>
  <c r="H76" i="11"/>
  <c r="H71" i="11"/>
  <c r="H70" i="11"/>
  <c r="H34" i="4"/>
  <c r="H30" i="4"/>
  <c r="H67" i="11"/>
  <c r="H78" i="11"/>
  <c r="H26" i="4"/>
  <c r="H75" i="11"/>
  <c r="H66" i="11"/>
  <c r="H57" i="11"/>
  <c r="H74" i="11"/>
  <c r="H72" i="11"/>
  <c r="I72" i="11" s="1"/>
  <c r="H33" i="4"/>
  <c r="H28" i="4"/>
  <c r="N5" i="15"/>
  <c r="O5" i="15"/>
  <c r="Q5" i="15"/>
  <c r="I18" i="15"/>
  <c r="P18" i="15"/>
  <c r="E40" i="11"/>
  <c r="O13" i="15"/>
  <c r="N13" i="15"/>
  <c r="E37" i="11"/>
  <c r="E36" i="7"/>
  <c r="E32" i="8"/>
  <c r="N40" i="15"/>
  <c r="K28" i="10"/>
  <c r="L28" i="10" s="1"/>
  <c r="I25" i="15"/>
  <c r="G26" i="15"/>
  <c r="G27" i="15"/>
  <c r="B49" i="12"/>
  <c r="B48" i="12"/>
  <c r="B47" i="12"/>
  <c r="G16" i="11"/>
  <c r="G31" i="11"/>
  <c r="G30" i="11"/>
  <c r="G56" i="11" s="1"/>
  <c r="O55" i="15"/>
  <c r="L11" i="7" s="1"/>
  <c r="N55" i="15"/>
  <c r="L10" i="7" s="1"/>
  <c r="I55" i="15"/>
  <c r="L5" i="7" s="1"/>
  <c r="N43" i="15"/>
  <c r="O35" i="15"/>
  <c r="I5" i="15"/>
  <c r="O58" i="15"/>
  <c r="N58" i="15"/>
  <c r="P25" i="15"/>
  <c r="G3" i="8"/>
  <c r="F20" i="10" s="1"/>
  <c r="B54" i="2" s="1"/>
  <c r="C29" i="16"/>
  <c r="C23" i="8"/>
  <c r="C15" i="7"/>
  <c r="G40" i="15"/>
  <c r="O40" i="15" s="1"/>
  <c r="F38" i="15"/>
  <c r="I76" i="11"/>
  <c r="H14" i="8"/>
  <c r="H19" i="8"/>
  <c r="H3" i="8"/>
  <c r="G20" i="10" s="1"/>
  <c r="B55" i="2" s="1"/>
  <c r="H18" i="8"/>
  <c r="H17" i="8"/>
  <c r="G20" i="15"/>
  <c r="P20" i="15" s="1"/>
  <c r="E20" i="2"/>
  <c r="P21" i="15"/>
  <c r="C38" i="10"/>
  <c r="D4" i="13" s="1"/>
  <c r="C39" i="2"/>
  <c r="C52" i="2"/>
  <c r="F29" i="7"/>
  <c r="I13" i="8"/>
  <c r="H16" i="11"/>
  <c r="H31" i="11"/>
  <c r="H32" i="11" s="1"/>
  <c r="H30" i="11"/>
  <c r="H55" i="11" s="1"/>
  <c r="E9" i="7"/>
  <c r="N9" i="7" s="1"/>
  <c r="P9" i="7" s="1"/>
  <c r="T9" i="7" s="1"/>
  <c r="U9" i="7" s="1"/>
  <c r="E8" i="8"/>
  <c r="J8" i="8" s="1"/>
  <c r="L8" i="8" s="1"/>
  <c r="P8" i="8" s="1"/>
  <c r="Q8" i="8" s="1"/>
  <c r="O11" i="15"/>
  <c r="N11" i="15"/>
  <c r="H5" i="3"/>
  <c r="J5" i="3"/>
  <c r="H46" i="11"/>
  <c r="D16" i="11"/>
  <c r="D31" i="11"/>
  <c r="D30" i="11"/>
  <c r="D47" i="11" s="1"/>
  <c r="D28" i="4"/>
  <c r="D56" i="11"/>
  <c r="D67" i="11"/>
  <c r="D27" i="4"/>
  <c r="E18" i="13"/>
  <c r="K10" i="3"/>
  <c r="F18" i="13" s="1"/>
  <c r="G18" i="13" s="1"/>
  <c r="H18" i="13" s="1"/>
  <c r="E69" i="11"/>
  <c r="E72" i="11"/>
  <c r="E26" i="4"/>
  <c r="E73" i="11"/>
  <c r="E68" i="11"/>
  <c r="E70" i="11"/>
  <c r="E71" i="11"/>
  <c r="I71" i="11" s="1"/>
  <c r="E65" i="11"/>
  <c r="I65" i="11" s="1"/>
  <c r="E67" i="11"/>
  <c r="E28" i="4"/>
  <c r="E27" i="4"/>
  <c r="E76" i="11"/>
  <c r="E75" i="11"/>
  <c r="I75" i="11" s="1"/>
  <c r="O52" i="15"/>
  <c r="K11" i="7" s="1"/>
  <c r="N52" i="15"/>
  <c r="K10" i="7" s="1"/>
  <c r="F47" i="11"/>
  <c r="F43" i="11"/>
  <c r="F45" i="11" s="1"/>
  <c r="F49" i="11" s="1"/>
  <c r="P7" i="15"/>
  <c r="I7" i="15"/>
  <c r="E3" i="8"/>
  <c r="B20" i="10" s="1"/>
  <c r="B52" i="2" s="1"/>
  <c r="P8" i="15"/>
  <c r="I8" i="15"/>
  <c r="E23" i="13"/>
  <c r="G91" i="11"/>
  <c r="F23" i="13" s="1"/>
  <c r="G23" i="13" s="1"/>
  <c r="H23" i="13" s="1"/>
  <c r="O42" i="15"/>
  <c r="Q42" i="15"/>
  <c r="N42" i="15"/>
  <c r="G48" i="11"/>
  <c r="G33" i="11"/>
  <c r="G38" i="11"/>
  <c r="Q46" i="15"/>
  <c r="H16" i="8" s="1"/>
  <c r="O46" i="15"/>
  <c r="N46" i="15"/>
  <c r="E16" i="11"/>
  <c r="E38" i="4" s="1"/>
  <c r="C21" i="13" s="1"/>
  <c r="E31" i="11"/>
  <c r="E32" i="11" s="1"/>
  <c r="E74" i="11" s="1"/>
  <c r="E30" i="11"/>
  <c r="E55" i="11" s="1"/>
  <c r="F6" i="8"/>
  <c r="E26" i="10" s="1"/>
  <c r="K9" i="3"/>
  <c r="F17" i="13" s="1"/>
  <c r="G17" i="13" s="1"/>
  <c r="H17" i="13" s="1"/>
  <c r="E17" i="13"/>
  <c r="E21" i="8"/>
  <c r="E13" i="7"/>
  <c r="O50" i="15"/>
  <c r="N50" i="15"/>
  <c r="I42" i="15"/>
  <c r="N49" i="15"/>
  <c r="E33" i="11"/>
  <c r="E42" i="11" s="1"/>
  <c r="E38" i="11"/>
  <c r="E46" i="11" s="1"/>
  <c r="N21" i="15"/>
  <c r="O21" i="15"/>
  <c r="Q21" i="15"/>
  <c r="F17" i="8" s="1"/>
  <c r="I31" i="15"/>
  <c r="P31" i="15"/>
  <c r="O25" i="15"/>
  <c r="N25" i="15"/>
  <c r="Q25" i="15"/>
  <c r="F36" i="15"/>
  <c r="C131" i="14"/>
  <c r="O15" i="15"/>
  <c r="N15" i="15"/>
  <c r="J30" i="7"/>
  <c r="J23" i="7"/>
  <c r="H20" i="8"/>
  <c r="J33" i="7"/>
  <c r="J21" i="7"/>
  <c r="H27" i="8"/>
  <c r="H33" i="8"/>
  <c r="H29" i="8"/>
  <c r="J20" i="7"/>
  <c r="H25" i="8"/>
  <c r="J25" i="7"/>
  <c r="J13" i="7"/>
  <c r="J37" i="7"/>
  <c r="H30" i="8"/>
  <c r="J42" i="7"/>
  <c r="J34" i="7"/>
  <c r="J26" i="7"/>
  <c r="J18" i="7"/>
  <c r="J12" i="7"/>
  <c r="J38" i="7"/>
  <c r="J32" i="7"/>
  <c r="J47" i="7"/>
  <c r="J17" i="7"/>
  <c r="J41" i="7"/>
  <c r="J29" i="7"/>
  <c r="H13" i="8"/>
  <c r="J27" i="7"/>
  <c r="J40" i="7"/>
  <c r="J36" i="7"/>
  <c r="J22" i="7"/>
  <c r="J39" i="7"/>
  <c r="H26" i="8"/>
  <c r="J35" i="7"/>
  <c r="J28" i="7"/>
  <c r="J31" i="7"/>
  <c r="H32" i="8"/>
  <c r="J48" i="7"/>
  <c r="H28" i="8"/>
  <c r="H21" i="8"/>
  <c r="J19" i="7"/>
  <c r="N7" i="15"/>
  <c r="O7" i="15"/>
  <c r="P41" i="15"/>
  <c r="I41" i="15"/>
  <c r="O20" i="15"/>
  <c r="N20" i="15"/>
  <c r="G24" i="8"/>
  <c r="H24" i="8"/>
  <c r="F24" i="8"/>
  <c r="E24" i="8"/>
  <c r="J24" i="8" s="1"/>
  <c r="L24" i="8" s="1"/>
  <c r="P24" i="8" s="1"/>
  <c r="Q24" i="8" s="1"/>
  <c r="O9" i="15"/>
  <c r="N9" i="15"/>
  <c r="Q22" i="15"/>
  <c r="O22" i="15"/>
  <c r="N22" i="15"/>
  <c r="I34" i="15"/>
  <c r="P34" i="15"/>
  <c r="O17" i="15"/>
  <c r="N17" i="15"/>
  <c r="P47" i="15"/>
  <c r="I47" i="15"/>
  <c r="O26" i="15"/>
  <c r="N26" i="15"/>
  <c r="C129" i="14"/>
  <c r="G37" i="15"/>
  <c r="C5" i="13"/>
  <c r="B40" i="2"/>
  <c r="O18" i="15"/>
  <c r="N18" i="15"/>
  <c r="E47" i="7"/>
  <c r="E33" i="8"/>
  <c r="F11" i="15"/>
  <c r="F10" i="15"/>
  <c r="G37" i="11"/>
  <c r="C37" i="11"/>
  <c r="C33" i="11"/>
  <c r="C42" i="11" s="1"/>
  <c r="N16" i="15"/>
  <c r="O16" i="15"/>
  <c r="I16" i="15"/>
  <c r="P22" i="15"/>
  <c r="E34" i="11"/>
  <c r="O41" i="15"/>
  <c r="N41" i="15"/>
  <c r="G48" i="15"/>
  <c r="G47" i="15"/>
  <c r="O47" i="15" s="1"/>
  <c r="N14" i="15"/>
  <c r="O14" i="15"/>
  <c r="N36" i="15"/>
  <c r="Q36" i="15"/>
  <c r="O36" i="15"/>
  <c r="C16" i="11"/>
  <c r="C30" i="11"/>
  <c r="C31" i="11"/>
  <c r="C39" i="10"/>
  <c r="D5" i="13" s="1"/>
  <c r="C40" i="2"/>
  <c r="E27" i="8"/>
  <c r="E19" i="7"/>
  <c r="E52" i="16"/>
  <c r="G12" i="15"/>
  <c r="E9" i="2"/>
  <c r="E16" i="13"/>
  <c r="K8" i="3"/>
  <c r="F16" i="13" s="1"/>
  <c r="G16" i="13" s="1"/>
  <c r="H16" i="13" s="1"/>
  <c r="Q31" i="15"/>
  <c r="O31" i="15"/>
  <c r="N31" i="15"/>
  <c r="I50" i="15"/>
  <c r="C44" i="11"/>
  <c r="C41" i="11"/>
  <c r="C40" i="10"/>
  <c r="D6" i="13" s="1"/>
  <c r="C41" i="2"/>
  <c r="F7" i="8"/>
  <c r="H8" i="7"/>
  <c r="E29" i="10" s="1"/>
  <c r="E20" i="7"/>
  <c r="E28" i="8"/>
  <c r="N44" i="15"/>
  <c r="P50" i="15"/>
  <c r="C38" i="11"/>
  <c r="P35" i="15"/>
  <c r="I35" i="15"/>
  <c r="C40" i="11"/>
  <c r="E21" i="7"/>
  <c r="E29" i="8"/>
  <c r="D46" i="11"/>
  <c r="Q30" i="15"/>
  <c r="N30" i="15"/>
  <c r="I30" i="15"/>
  <c r="P30" i="15"/>
  <c r="O30" i="15"/>
  <c r="K5" i="7"/>
  <c r="P9" i="15"/>
  <c r="I9" i="15"/>
  <c r="N47" i="15"/>
  <c r="E7" i="16"/>
  <c r="O34" i="15"/>
  <c r="N34" i="15"/>
  <c r="P15" i="15"/>
  <c r="I15" i="15"/>
  <c r="F66" i="11"/>
  <c r="F32" i="4"/>
  <c r="F55" i="11"/>
  <c r="F38" i="4"/>
  <c r="C22" i="13" s="1"/>
  <c r="F72" i="11"/>
  <c r="F73" i="11"/>
  <c r="I73" i="11" s="1"/>
  <c r="F69" i="11"/>
  <c r="I69" i="11" s="1"/>
  <c r="F65" i="11"/>
  <c r="F77" i="11"/>
  <c r="F27" i="4"/>
  <c r="F56" i="11"/>
  <c r="F78" i="11"/>
  <c r="F68" i="11"/>
  <c r="F30" i="4"/>
  <c r="F64" i="11"/>
  <c r="F67" i="11"/>
  <c r="I67" i="11" s="1"/>
  <c r="F71" i="11"/>
  <c r="F54" i="11"/>
  <c r="F31" i="4"/>
  <c r="F57" i="11"/>
  <c r="F34" i="4"/>
  <c r="F70" i="11"/>
  <c r="I70" i="11" s="1"/>
  <c r="F53" i="11"/>
  <c r="F29" i="4"/>
  <c r="F28" i="4"/>
  <c r="F76" i="11"/>
  <c r="F26" i="4"/>
  <c r="F75" i="11"/>
  <c r="F36" i="4"/>
  <c r="F74" i="11"/>
  <c r="F35" i="4"/>
  <c r="F33" i="4"/>
  <c r="P14" i="15"/>
  <c r="E51" i="16" s="1"/>
  <c r="I14" i="15"/>
  <c r="G41" i="11"/>
  <c r="F40" i="11"/>
  <c r="H33" i="11"/>
  <c r="H42" i="11" s="1"/>
  <c r="H48" i="11"/>
  <c r="E18" i="7"/>
  <c r="E26" i="8"/>
  <c r="I46" i="15"/>
  <c r="H6" i="8" s="1"/>
  <c r="G26" i="10" s="1"/>
  <c r="I17" i="15"/>
  <c r="P17" i="15"/>
  <c r="F12" i="15"/>
  <c r="C106" i="14"/>
  <c r="H34" i="11"/>
  <c r="P46" i="15"/>
  <c r="F60" i="11" l="1"/>
  <c r="F59" i="11"/>
  <c r="F63" i="11"/>
  <c r="F61" i="11"/>
  <c r="F58" i="11"/>
  <c r="F84" i="11"/>
  <c r="F62" i="11"/>
  <c r="H9" i="8"/>
  <c r="E18" i="8"/>
  <c r="F81" i="11"/>
  <c r="F82" i="11"/>
  <c r="F79" i="11"/>
  <c r="F80" i="11"/>
  <c r="F93" i="11"/>
  <c r="F83" i="11"/>
  <c r="G16" i="8"/>
  <c r="E52" i="11"/>
  <c r="E5" i="8"/>
  <c r="L49" i="7"/>
  <c r="L51" i="7" s="1"/>
  <c r="I25" i="10"/>
  <c r="G53" i="11"/>
  <c r="E56" i="11"/>
  <c r="J24" i="7"/>
  <c r="E64" i="11"/>
  <c r="J15" i="7"/>
  <c r="I15" i="7"/>
  <c r="H15" i="7"/>
  <c r="K15" i="7"/>
  <c r="G15" i="7"/>
  <c r="G51" i="7" s="1"/>
  <c r="F15" i="7"/>
  <c r="J76" i="11"/>
  <c r="L76" i="11" s="1"/>
  <c r="K70" i="11"/>
  <c r="J70" i="11"/>
  <c r="K79" i="11"/>
  <c r="J79" i="11"/>
  <c r="K62" i="11"/>
  <c r="K81" i="11"/>
  <c r="K69" i="11"/>
  <c r="J81" i="11"/>
  <c r="K67" i="11"/>
  <c r="M67" i="11" s="1"/>
  <c r="J67" i="11"/>
  <c r="L67" i="11" s="1"/>
  <c r="J80" i="11"/>
  <c r="K78" i="11"/>
  <c r="K60" i="11"/>
  <c r="K58" i="11"/>
  <c r="J58" i="11"/>
  <c r="K66" i="11"/>
  <c r="M66" i="11" s="1"/>
  <c r="J66" i="11"/>
  <c r="L66" i="11" s="1"/>
  <c r="J84" i="11"/>
  <c r="M15" i="7"/>
  <c r="K71" i="11"/>
  <c r="L15" i="7"/>
  <c r="J71" i="11"/>
  <c r="E15" i="7"/>
  <c r="J78" i="11"/>
  <c r="J53" i="11"/>
  <c r="K72" i="11"/>
  <c r="J60" i="11"/>
  <c r="K75" i="11"/>
  <c r="J77" i="11"/>
  <c r="J72" i="11"/>
  <c r="K53" i="11"/>
  <c r="J75" i="11"/>
  <c r="K61" i="11"/>
  <c r="K82" i="11"/>
  <c r="J61" i="11"/>
  <c r="J69" i="11"/>
  <c r="K84" i="11"/>
  <c r="J68" i="11"/>
  <c r="K73" i="11"/>
  <c r="K59" i="11"/>
  <c r="J73" i="11"/>
  <c r="J82" i="11"/>
  <c r="L82" i="11" s="1"/>
  <c r="K77" i="11"/>
  <c r="J63" i="11"/>
  <c r="J74" i="11"/>
  <c r="J83" i="11"/>
  <c r="K76" i="11"/>
  <c r="M76" i="11" s="1"/>
  <c r="K68" i="11"/>
  <c r="J62" i="11"/>
  <c r="J59" i="11"/>
  <c r="K63" i="11"/>
  <c r="K74" i="11"/>
  <c r="K83" i="11"/>
  <c r="K80" i="11"/>
  <c r="F18" i="8"/>
  <c r="J29" i="8"/>
  <c r="L29" i="8" s="1"/>
  <c r="P29" i="8" s="1"/>
  <c r="Q29" i="8" s="1"/>
  <c r="J27" i="8"/>
  <c r="L27" i="8" s="1"/>
  <c r="P27" i="8" s="1"/>
  <c r="Q27" i="8" s="1"/>
  <c r="H23" i="8"/>
  <c r="F23" i="8"/>
  <c r="E23" i="8"/>
  <c r="M68" i="11"/>
  <c r="L78" i="11"/>
  <c r="G23" i="8"/>
  <c r="L73" i="11"/>
  <c r="L72" i="11"/>
  <c r="L74" i="11"/>
  <c r="M69" i="11"/>
  <c r="L79" i="11"/>
  <c r="M83" i="11"/>
  <c r="L83" i="11"/>
  <c r="M70" i="11"/>
  <c r="L70" i="11"/>
  <c r="M79" i="11"/>
  <c r="L69" i="11"/>
  <c r="M73" i="11"/>
  <c r="L80" i="11"/>
  <c r="M77" i="11"/>
  <c r="M74" i="11"/>
  <c r="L77" i="11"/>
  <c r="L71" i="11"/>
  <c r="L75" i="11"/>
  <c r="L84" i="11"/>
  <c r="L68" i="11"/>
  <c r="M78" i="11"/>
  <c r="M82" i="11"/>
  <c r="M84" i="11"/>
  <c r="M71" i="11"/>
  <c r="M80" i="11"/>
  <c r="M81" i="11"/>
  <c r="L81" i="11"/>
  <c r="M72" i="11"/>
  <c r="M75" i="11"/>
  <c r="H56" i="11"/>
  <c r="G43" i="11"/>
  <c r="G45" i="11" s="1"/>
  <c r="I12" i="15"/>
  <c r="E6" i="8" s="1"/>
  <c r="P12" i="15"/>
  <c r="H24" i="7"/>
  <c r="F31" i="8"/>
  <c r="E16" i="8"/>
  <c r="J16" i="8" s="1"/>
  <c r="L16" i="8" s="1"/>
  <c r="P16" i="8" s="1"/>
  <c r="Q16" i="8" s="1"/>
  <c r="E77" i="11"/>
  <c r="P27" i="15"/>
  <c r="I27" i="15"/>
  <c r="H5" i="7" s="1"/>
  <c r="O27" i="15"/>
  <c r="F10" i="8" s="1"/>
  <c r="N27" i="15"/>
  <c r="H10" i="7" s="1"/>
  <c r="J21" i="8"/>
  <c r="L21" i="8" s="1"/>
  <c r="P21" i="8" s="1"/>
  <c r="Q21" i="8" s="1"/>
  <c r="I20" i="15"/>
  <c r="G32" i="11"/>
  <c r="G66" i="11"/>
  <c r="E12" i="16"/>
  <c r="E5" i="16"/>
  <c r="G55" i="11"/>
  <c r="G78" i="11"/>
  <c r="G77" i="11"/>
  <c r="I8" i="7"/>
  <c r="G7" i="8"/>
  <c r="P10" i="15"/>
  <c r="I10" i="15"/>
  <c r="P11" i="15"/>
  <c r="I11" i="15"/>
  <c r="N13" i="7"/>
  <c r="P13" i="7" s="1"/>
  <c r="T13" i="7" s="1"/>
  <c r="U13" i="7" s="1"/>
  <c r="G28" i="8"/>
  <c r="I28" i="7"/>
  <c r="N28" i="7" s="1"/>
  <c r="P28" i="7" s="1"/>
  <c r="T28" i="7" s="1"/>
  <c r="U28" i="7" s="1"/>
  <c r="I37" i="7"/>
  <c r="N37" i="7" s="1"/>
  <c r="P37" i="7" s="1"/>
  <c r="T37" i="7" s="1"/>
  <c r="U37" i="7" s="1"/>
  <c r="G31" i="8"/>
  <c r="G13" i="8"/>
  <c r="J13" i="8" s="1"/>
  <c r="L13" i="8" s="1"/>
  <c r="P13" i="8" s="1"/>
  <c r="Q13" i="8" s="1"/>
  <c r="I40" i="7"/>
  <c r="I33" i="7"/>
  <c r="N33" i="7" s="1"/>
  <c r="P33" i="7" s="1"/>
  <c r="T33" i="7" s="1"/>
  <c r="U33" i="7" s="1"/>
  <c r="G25" i="8"/>
  <c r="I25" i="7"/>
  <c r="N25" i="7" s="1"/>
  <c r="P25" i="7" s="1"/>
  <c r="T25" i="7" s="1"/>
  <c r="U25" i="7" s="1"/>
  <c r="I13" i="7"/>
  <c r="G29" i="8"/>
  <c r="G33" i="8"/>
  <c r="J33" i="8" s="1"/>
  <c r="L33" i="8" s="1"/>
  <c r="P33" i="8" s="1"/>
  <c r="Q33" i="8" s="1"/>
  <c r="I32" i="7"/>
  <c r="N32" i="7" s="1"/>
  <c r="P32" i="7" s="1"/>
  <c r="T32" i="7" s="1"/>
  <c r="U32" i="7" s="1"/>
  <c r="I27" i="7"/>
  <c r="N27" i="7" s="1"/>
  <c r="P27" i="7" s="1"/>
  <c r="T27" i="7" s="1"/>
  <c r="U27" i="7" s="1"/>
  <c r="G21" i="8"/>
  <c r="G30" i="8"/>
  <c r="I42" i="7"/>
  <c r="I34" i="7"/>
  <c r="N34" i="7" s="1"/>
  <c r="P34" i="7" s="1"/>
  <c r="T34" i="7" s="1"/>
  <c r="U34" i="7" s="1"/>
  <c r="I26" i="7"/>
  <c r="N26" i="7" s="1"/>
  <c r="P26" i="7" s="1"/>
  <c r="T26" i="7" s="1"/>
  <c r="U26" i="7" s="1"/>
  <c r="I23" i="7"/>
  <c r="N23" i="7" s="1"/>
  <c r="P23" i="7" s="1"/>
  <c r="T23" i="7" s="1"/>
  <c r="U23" i="7" s="1"/>
  <c r="I18" i="7"/>
  <c r="N18" i="7" s="1"/>
  <c r="P18" i="7" s="1"/>
  <c r="T18" i="7" s="1"/>
  <c r="U18" i="7" s="1"/>
  <c r="I38" i="7"/>
  <c r="N38" i="7" s="1"/>
  <c r="P38" i="7" s="1"/>
  <c r="T38" i="7" s="1"/>
  <c r="U38" i="7" s="1"/>
  <c r="I20" i="7"/>
  <c r="N20" i="7" s="1"/>
  <c r="P20" i="7" s="1"/>
  <c r="T20" i="7" s="1"/>
  <c r="U20" i="7" s="1"/>
  <c r="I47" i="7"/>
  <c r="N47" i="7" s="1"/>
  <c r="P47" i="7" s="1"/>
  <c r="T47" i="7" s="1"/>
  <c r="U47" i="7" s="1"/>
  <c r="I17" i="7"/>
  <c r="I41" i="7"/>
  <c r="I29" i="7"/>
  <c r="N29" i="7" s="1"/>
  <c r="P29" i="7" s="1"/>
  <c r="T29" i="7" s="1"/>
  <c r="U29" i="7" s="1"/>
  <c r="I30" i="7"/>
  <c r="N30" i="7" s="1"/>
  <c r="P30" i="7" s="1"/>
  <c r="T30" i="7" s="1"/>
  <c r="U30" i="7" s="1"/>
  <c r="G27" i="8"/>
  <c r="I36" i="7"/>
  <c r="N36" i="7" s="1"/>
  <c r="P36" i="7" s="1"/>
  <c r="T36" i="7" s="1"/>
  <c r="U36" i="7" s="1"/>
  <c r="I22" i="7"/>
  <c r="G26" i="8"/>
  <c r="I35" i="7"/>
  <c r="N35" i="7" s="1"/>
  <c r="P35" i="7" s="1"/>
  <c r="T35" i="7" s="1"/>
  <c r="U35" i="7" s="1"/>
  <c r="I31" i="7"/>
  <c r="N31" i="7" s="1"/>
  <c r="P31" i="7" s="1"/>
  <c r="T31" i="7" s="1"/>
  <c r="U31" i="7" s="1"/>
  <c r="I21" i="7"/>
  <c r="N21" i="7" s="1"/>
  <c r="P21" i="7" s="1"/>
  <c r="T21" i="7" s="1"/>
  <c r="U21" i="7" s="1"/>
  <c r="G32" i="8"/>
  <c r="J32" i="8" s="1"/>
  <c r="L32" i="8" s="1"/>
  <c r="P32" i="8" s="1"/>
  <c r="Q32" i="8" s="1"/>
  <c r="I24" i="7"/>
  <c r="I48" i="7"/>
  <c r="N48" i="7" s="1"/>
  <c r="P48" i="7" s="1"/>
  <c r="T48" i="7" s="1"/>
  <c r="U48" i="7" s="1"/>
  <c r="I19" i="7"/>
  <c r="N19" i="7" s="1"/>
  <c r="P19" i="7" s="1"/>
  <c r="T19" i="7" s="1"/>
  <c r="U19" i="7" s="1"/>
  <c r="I39" i="7"/>
  <c r="I14" i="7"/>
  <c r="N14" i="7" s="1"/>
  <c r="P14" i="7" s="1"/>
  <c r="T14" i="7" s="1"/>
  <c r="U14" i="7" s="1"/>
  <c r="I16" i="7"/>
  <c r="N16" i="7" s="1"/>
  <c r="P16" i="7" s="1"/>
  <c r="T16" i="7" s="1"/>
  <c r="U16" i="7" s="1"/>
  <c r="G22" i="8"/>
  <c r="J22" i="8" s="1"/>
  <c r="L22" i="8" s="1"/>
  <c r="P22" i="8" s="1"/>
  <c r="Q22" i="8" s="1"/>
  <c r="G47" i="11"/>
  <c r="P26" i="15"/>
  <c r="I26" i="15"/>
  <c r="J26" i="8"/>
  <c r="L26" i="8" s="1"/>
  <c r="P26" i="8" s="1"/>
  <c r="Q26" i="8" s="1"/>
  <c r="C56" i="11"/>
  <c r="I56" i="11" s="1"/>
  <c r="E78" i="11"/>
  <c r="E66" i="11"/>
  <c r="H25" i="10"/>
  <c r="K49" i="7"/>
  <c r="K51" i="7"/>
  <c r="C46" i="11"/>
  <c r="C34" i="11"/>
  <c r="C38" i="4"/>
  <c r="C19" i="13" s="1"/>
  <c r="C77" i="11"/>
  <c r="C78" i="11"/>
  <c r="C55" i="11"/>
  <c r="N10" i="15"/>
  <c r="E9" i="8" s="1"/>
  <c r="C28" i="4"/>
  <c r="O10" i="15"/>
  <c r="E10" i="8" s="1"/>
  <c r="E7" i="8"/>
  <c r="E8" i="7"/>
  <c r="J28" i="8"/>
  <c r="L28" i="8" s="1"/>
  <c r="P28" i="8" s="1"/>
  <c r="Q28" i="8" s="1"/>
  <c r="G38" i="15"/>
  <c r="O38" i="15" s="1"/>
  <c r="G39" i="15"/>
  <c r="J8" i="7"/>
  <c r="H7" i="8"/>
  <c r="G46" i="11"/>
  <c r="G52" i="11" s="1"/>
  <c r="E28" i="16"/>
  <c r="E34" i="16"/>
  <c r="P37" i="15"/>
  <c r="N37" i="15"/>
  <c r="Q37" i="15"/>
  <c r="G34" i="8" s="1"/>
  <c r="O37" i="15"/>
  <c r="I37" i="15"/>
  <c r="F10" i="7"/>
  <c r="F11" i="7"/>
  <c r="G42" i="11"/>
  <c r="G54" i="11"/>
  <c r="H54" i="11"/>
  <c r="P36" i="15"/>
  <c r="I36" i="15"/>
  <c r="G6" i="8" s="1"/>
  <c r="F26" i="10" s="1"/>
  <c r="H47" i="11"/>
  <c r="H43" i="11"/>
  <c r="H45" i="11" s="1"/>
  <c r="C32" i="11"/>
  <c r="C66" i="11"/>
  <c r="E24" i="7"/>
  <c r="E31" i="8"/>
  <c r="J31" i="8" s="1"/>
  <c r="L31" i="8" s="1"/>
  <c r="P31" i="8" s="1"/>
  <c r="Q31" i="8" s="1"/>
  <c r="G15" i="8"/>
  <c r="C57" i="11"/>
  <c r="G57" i="11"/>
  <c r="J10" i="7"/>
  <c r="F5" i="7"/>
  <c r="P48" i="15"/>
  <c r="O48" i="15"/>
  <c r="H10" i="8" s="1"/>
  <c r="I48" i="15"/>
  <c r="H5" i="8" s="1"/>
  <c r="N48" i="15"/>
  <c r="F15" i="8"/>
  <c r="F34" i="8"/>
  <c r="F19" i="8"/>
  <c r="F16" i="8"/>
  <c r="F14" i="8"/>
  <c r="H34" i="8"/>
  <c r="E10" i="7"/>
  <c r="J11" i="7"/>
  <c r="K5" i="3"/>
  <c r="E13" i="13"/>
  <c r="D78" i="11"/>
  <c r="D55" i="11"/>
  <c r="D38" i="4"/>
  <c r="C20" i="13" s="1"/>
  <c r="D77" i="11"/>
  <c r="O12" i="15"/>
  <c r="Q12" i="15"/>
  <c r="H15" i="8"/>
  <c r="E5" i="7"/>
  <c r="D43" i="11"/>
  <c r="D45" i="11" s="1"/>
  <c r="H11" i="3"/>
  <c r="I5" i="3"/>
  <c r="I11" i="3" s="1"/>
  <c r="E25" i="8"/>
  <c r="E17" i="7"/>
  <c r="N17" i="7" s="1"/>
  <c r="P17" i="7" s="1"/>
  <c r="T17" i="7" s="1"/>
  <c r="U17" i="7" s="1"/>
  <c r="C54" i="11"/>
  <c r="E47" i="11"/>
  <c r="E43" i="11"/>
  <c r="E45" i="11" s="1"/>
  <c r="E49" i="11" s="1"/>
  <c r="N12" i="15"/>
  <c r="E54" i="11"/>
  <c r="D32" i="11"/>
  <c r="D66" i="11"/>
  <c r="I7" i="10" l="1"/>
  <c r="I18" i="10"/>
  <c r="I19" i="10" s="1"/>
  <c r="F92" i="11"/>
  <c r="F87" i="11"/>
  <c r="H49" i="7"/>
  <c r="I11" i="7"/>
  <c r="D49" i="11"/>
  <c r="D53" i="11"/>
  <c r="E34" i="8"/>
  <c r="J34" i="8" s="1"/>
  <c r="L34" i="8" s="1"/>
  <c r="P34" i="8" s="1"/>
  <c r="Q34" i="8" s="1"/>
  <c r="E17" i="8"/>
  <c r="E14" i="8"/>
  <c r="C74" i="11"/>
  <c r="C64" i="11"/>
  <c r="N38" i="15"/>
  <c r="G20" i="8"/>
  <c r="I12" i="7"/>
  <c r="J7" i="8"/>
  <c r="L7" i="8" s="1"/>
  <c r="P7" i="8" s="1"/>
  <c r="Q7" i="8" s="1"/>
  <c r="I55" i="11"/>
  <c r="E19" i="8"/>
  <c r="J19" i="8" s="1"/>
  <c r="L19" i="8" s="1"/>
  <c r="P19" i="8" s="1"/>
  <c r="Q19" i="8" s="1"/>
  <c r="G49" i="11"/>
  <c r="G29" i="10"/>
  <c r="I66" i="11"/>
  <c r="H49" i="11"/>
  <c r="H53" i="11"/>
  <c r="D52" i="11"/>
  <c r="I78" i="11"/>
  <c r="N24" i="7"/>
  <c r="P24" i="7" s="1"/>
  <c r="T24" i="7" s="1"/>
  <c r="U24" i="7" s="1"/>
  <c r="B29" i="10"/>
  <c r="N8" i="7"/>
  <c r="P8" i="7" s="1"/>
  <c r="T8" i="7" s="1"/>
  <c r="U8" i="7" s="1"/>
  <c r="B26" i="10"/>
  <c r="K26" i="10" s="1"/>
  <c r="L26" i="10" s="1"/>
  <c r="J6" i="8"/>
  <c r="L6" i="8" s="1"/>
  <c r="P6" i="8" s="1"/>
  <c r="Q6" i="8" s="1"/>
  <c r="E11" i="7"/>
  <c r="N11" i="7" s="1"/>
  <c r="P11" i="7" s="1"/>
  <c r="T11" i="7" s="1"/>
  <c r="U11" i="7" s="1"/>
  <c r="I77" i="11"/>
  <c r="I57" i="11"/>
  <c r="E35" i="8"/>
  <c r="F13" i="13"/>
  <c r="G13" i="13" s="1"/>
  <c r="H13" i="13" s="1"/>
  <c r="K11" i="3"/>
  <c r="I38" i="15"/>
  <c r="E60" i="16" s="1"/>
  <c r="M42" i="7" s="1"/>
  <c r="N42" i="7" s="1"/>
  <c r="P42" i="7" s="1"/>
  <c r="T42" i="7" s="1"/>
  <c r="U42" i="7" s="1"/>
  <c r="C47" i="11"/>
  <c r="C43" i="11"/>
  <c r="C45" i="11" s="1"/>
  <c r="C52" i="11" s="1"/>
  <c r="P38" i="15"/>
  <c r="H52" i="11"/>
  <c r="J18" i="8"/>
  <c r="L18" i="8" s="1"/>
  <c r="P18" i="8" s="1"/>
  <c r="Q18" i="8" s="1"/>
  <c r="P39" i="15"/>
  <c r="I39" i="15"/>
  <c r="O39" i="15"/>
  <c r="G10" i="8" s="1"/>
  <c r="J10" i="8" s="1"/>
  <c r="L10" i="8" s="1"/>
  <c r="P10" i="8" s="1"/>
  <c r="Q10" i="8" s="1"/>
  <c r="N39" i="15"/>
  <c r="H11" i="7"/>
  <c r="H51" i="7" s="1"/>
  <c r="F29" i="10"/>
  <c r="D74" i="11"/>
  <c r="D64" i="11"/>
  <c r="N15" i="7"/>
  <c r="P15" i="7" s="1"/>
  <c r="T15" i="7" s="1"/>
  <c r="U15" i="7" s="1"/>
  <c r="E49" i="7"/>
  <c r="B25" i="10"/>
  <c r="E12" i="7"/>
  <c r="E20" i="8"/>
  <c r="I54" i="11"/>
  <c r="F9" i="8"/>
  <c r="G74" i="11"/>
  <c r="G64" i="11"/>
  <c r="F49" i="7"/>
  <c r="F51" i="7"/>
  <c r="C25" i="10"/>
  <c r="G79" i="11"/>
  <c r="G81" i="11"/>
  <c r="G93" i="11"/>
  <c r="G83" i="11"/>
  <c r="G80" i="11"/>
  <c r="G82" i="11"/>
  <c r="H18" i="10"/>
  <c r="H19" i="10" s="1"/>
  <c r="H7" i="10"/>
  <c r="E15" i="8"/>
  <c r="J15" i="8" s="1"/>
  <c r="L15" i="8" s="1"/>
  <c r="P15" i="8" s="1"/>
  <c r="Q15" i="8" s="1"/>
  <c r="D7" i="10"/>
  <c r="D18" i="10"/>
  <c r="D19" i="10" s="1"/>
  <c r="J23" i="8"/>
  <c r="L23" i="8" s="1"/>
  <c r="P23" i="8" s="1"/>
  <c r="Q23" i="8" s="1"/>
  <c r="E59" i="11"/>
  <c r="E60" i="11"/>
  <c r="E63" i="11"/>
  <c r="E61" i="11"/>
  <c r="E58" i="11"/>
  <c r="E84" i="11"/>
  <c r="E62" i="11"/>
  <c r="E30" i="4"/>
  <c r="E22" i="7"/>
  <c r="N22" i="7" s="1"/>
  <c r="P22" i="7" s="1"/>
  <c r="T22" i="7" s="1"/>
  <c r="U22" i="7" s="1"/>
  <c r="E30" i="8"/>
  <c r="J30" i="8" s="1"/>
  <c r="L30" i="8" s="1"/>
  <c r="P30" i="8" s="1"/>
  <c r="Q30" i="8" s="1"/>
  <c r="F6" i="7"/>
  <c r="I11" i="8"/>
  <c r="E53" i="11"/>
  <c r="E82" i="11" s="1"/>
  <c r="G19" i="8"/>
  <c r="G18" i="8"/>
  <c r="G17" i="8"/>
  <c r="G14" i="8"/>
  <c r="F5" i="8"/>
  <c r="H35" i="8"/>
  <c r="H37" i="8"/>
  <c r="G21" i="10" s="1"/>
  <c r="J25" i="8"/>
  <c r="L25" i="8" s="1"/>
  <c r="P25" i="8" s="1"/>
  <c r="Q25" i="8" s="1"/>
  <c r="J5" i="7"/>
  <c r="E18" i="10" l="1"/>
  <c r="C79" i="11"/>
  <c r="C81" i="11"/>
  <c r="C93" i="11"/>
  <c r="C29" i="4" s="1"/>
  <c r="C80" i="11"/>
  <c r="I52" i="11"/>
  <c r="C82" i="11"/>
  <c r="F35" i="8"/>
  <c r="F37" i="8" s="1"/>
  <c r="F55" i="2"/>
  <c r="G22" i="10"/>
  <c r="G55" i="2" s="1"/>
  <c r="G63" i="11"/>
  <c r="G84" i="11"/>
  <c r="G58" i="11"/>
  <c r="G60" i="11"/>
  <c r="G59" i="11"/>
  <c r="G61" i="11"/>
  <c r="G62" i="11"/>
  <c r="C27" i="10"/>
  <c r="K27" i="10" s="1"/>
  <c r="L27" i="10" s="1"/>
  <c r="N6" i="7"/>
  <c r="P6" i="7" s="1"/>
  <c r="T6" i="7" s="1"/>
  <c r="U6" i="7" s="1"/>
  <c r="E81" i="11"/>
  <c r="I10" i="7"/>
  <c r="N10" i="7" s="1"/>
  <c r="P10" i="7" s="1"/>
  <c r="T10" i="7" s="1"/>
  <c r="U10" i="7" s="1"/>
  <c r="G9" i="8"/>
  <c r="J9" i="8" s="1"/>
  <c r="L9" i="8" s="1"/>
  <c r="P9" i="8" s="1"/>
  <c r="Q9" i="8" s="1"/>
  <c r="J20" i="8"/>
  <c r="L20" i="8" s="1"/>
  <c r="P20" i="8" s="1"/>
  <c r="Q20" i="8" s="1"/>
  <c r="E79" i="11"/>
  <c r="E87" i="11" s="1"/>
  <c r="I64" i="11"/>
  <c r="E58" i="16"/>
  <c r="M40" i="7" s="1"/>
  <c r="N40" i="7" s="1"/>
  <c r="P40" i="7" s="1"/>
  <c r="T40" i="7" s="1"/>
  <c r="U40" i="7" s="1"/>
  <c r="G5" i="8"/>
  <c r="I5" i="7"/>
  <c r="E57" i="16"/>
  <c r="E83" i="11"/>
  <c r="I74" i="11"/>
  <c r="N12" i="7"/>
  <c r="P12" i="7" s="1"/>
  <c r="T12" i="7" s="1"/>
  <c r="U12" i="7" s="1"/>
  <c r="E93" i="11"/>
  <c r="E29" i="4" s="1"/>
  <c r="J14" i="8"/>
  <c r="L14" i="8" s="1"/>
  <c r="P14" i="8" s="1"/>
  <c r="Q14" i="8" s="1"/>
  <c r="G25" i="10"/>
  <c r="J49" i="7"/>
  <c r="J51" i="7"/>
  <c r="H79" i="11"/>
  <c r="H81" i="11"/>
  <c r="H93" i="11"/>
  <c r="H83" i="11"/>
  <c r="H82" i="11"/>
  <c r="H80" i="11"/>
  <c r="E80" i="11"/>
  <c r="J17" i="8"/>
  <c r="L17" i="8" s="1"/>
  <c r="P17" i="8" s="1"/>
  <c r="Q17" i="8" s="1"/>
  <c r="E25" i="10"/>
  <c r="E51" i="7"/>
  <c r="D63" i="11"/>
  <c r="D58" i="11"/>
  <c r="D87" i="11" s="1"/>
  <c r="D62" i="11"/>
  <c r="D60" i="11"/>
  <c r="D59" i="11"/>
  <c r="D61" i="11"/>
  <c r="D84" i="11"/>
  <c r="D30" i="4"/>
  <c r="E37" i="8"/>
  <c r="C7" i="10"/>
  <c r="C18" i="10"/>
  <c r="C19" i="10" s="1"/>
  <c r="F88" i="11"/>
  <c r="F89" i="11" s="1"/>
  <c r="D79" i="11"/>
  <c r="D82" i="11"/>
  <c r="D93" i="11"/>
  <c r="D29" i="4" s="1"/>
  <c r="D83" i="11"/>
  <c r="D80" i="11"/>
  <c r="D81" i="11"/>
  <c r="H9" i="10"/>
  <c r="E45" i="2" s="1"/>
  <c r="D45" i="2"/>
  <c r="K29" i="10"/>
  <c r="L29" i="10" s="1"/>
  <c r="I9" i="10"/>
  <c r="E46" i="2" s="1"/>
  <c r="D46" i="2"/>
  <c r="H60" i="11"/>
  <c r="H58" i="11"/>
  <c r="H92" i="11" s="1"/>
  <c r="H59" i="11"/>
  <c r="H63" i="11"/>
  <c r="H61" i="11"/>
  <c r="H87" i="11" s="1"/>
  <c r="H84" i="11"/>
  <c r="H62" i="11"/>
  <c r="C49" i="11"/>
  <c r="C53" i="11"/>
  <c r="I53" i="11" s="1"/>
  <c r="I37" i="8"/>
  <c r="J11" i="8"/>
  <c r="L11" i="8" s="1"/>
  <c r="P11" i="8" s="1"/>
  <c r="Q11" i="8" s="1"/>
  <c r="J5" i="8"/>
  <c r="L5" i="8" s="1"/>
  <c r="P5" i="8" s="1"/>
  <c r="D41" i="2"/>
  <c r="D9" i="10"/>
  <c r="E41" i="2" s="1"/>
  <c r="E59" i="16"/>
  <c r="M41" i="7" s="1"/>
  <c r="N41" i="7" s="1"/>
  <c r="P41" i="7" s="1"/>
  <c r="T41" i="7" s="1"/>
  <c r="U41" i="7" s="1"/>
  <c r="E88" i="11" l="1"/>
  <c r="E32" i="4" s="1"/>
  <c r="E31" i="4"/>
  <c r="H88" i="11"/>
  <c r="H89" i="11" s="1"/>
  <c r="D88" i="11"/>
  <c r="D32" i="4" s="1"/>
  <c r="D31" i="4"/>
  <c r="E21" i="10"/>
  <c r="E7" i="10"/>
  <c r="B7" i="10"/>
  <c r="B18" i="10"/>
  <c r="I10" i="10"/>
  <c r="G87" i="11"/>
  <c r="G92" i="11"/>
  <c r="H10" i="10"/>
  <c r="D92" i="11"/>
  <c r="D36" i="4" s="1"/>
  <c r="E92" i="11"/>
  <c r="E36" i="4" s="1"/>
  <c r="I82" i="11"/>
  <c r="I80" i="11"/>
  <c r="D10" i="10"/>
  <c r="C83" i="11"/>
  <c r="I83" i="11" s="1"/>
  <c r="D40" i="2"/>
  <c r="C9" i="10"/>
  <c r="E40" i="2" s="1"/>
  <c r="B21" i="10"/>
  <c r="I81" i="11"/>
  <c r="G35" i="8"/>
  <c r="G37" i="8" s="1"/>
  <c r="M39" i="7"/>
  <c r="E19" i="10"/>
  <c r="E53" i="2" s="1"/>
  <c r="D53" i="2"/>
  <c r="G7" i="10"/>
  <c r="G18" i="10"/>
  <c r="Q5" i="8"/>
  <c r="I49" i="7"/>
  <c r="N49" i="7" s="1"/>
  <c r="P49" i="7" s="1"/>
  <c r="T49" i="7" s="1"/>
  <c r="U49" i="7" s="1"/>
  <c r="I51" i="7"/>
  <c r="F25" i="10"/>
  <c r="K25" i="10" s="1"/>
  <c r="L25" i="10" s="1"/>
  <c r="N5" i="7"/>
  <c r="I79" i="11"/>
  <c r="C60" i="11"/>
  <c r="I60" i="11" s="1"/>
  <c r="C63" i="11"/>
  <c r="I63" i="11" s="1"/>
  <c r="C58" i="11"/>
  <c r="C61" i="11"/>
  <c r="I61" i="11" s="1"/>
  <c r="C84" i="11"/>
  <c r="I84" i="11" s="1"/>
  <c r="C59" i="11"/>
  <c r="I59" i="11" s="1"/>
  <c r="C62" i="11"/>
  <c r="I62" i="11" s="1"/>
  <c r="C30" i="4"/>
  <c r="E89" i="11" l="1"/>
  <c r="F21" i="10"/>
  <c r="K21" i="10" s="1"/>
  <c r="J37" i="8"/>
  <c r="E90" i="11"/>
  <c r="E33" i="4"/>
  <c r="F52" i="2"/>
  <c r="B22" i="10"/>
  <c r="F41" i="2"/>
  <c r="D15" i="10"/>
  <c r="D12" i="10"/>
  <c r="D11" i="10"/>
  <c r="C10" i="10"/>
  <c r="D38" i="8"/>
  <c r="B32" i="10" s="1"/>
  <c r="A58" i="2" s="1"/>
  <c r="J35" i="8"/>
  <c r="L35" i="8" s="1"/>
  <c r="P35" i="8" s="1"/>
  <c r="F7" i="10"/>
  <c r="F18" i="10"/>
  <c r="D39" i="2"/>
  <c r="B9" i="10"/>
  <c r="E9" i="10"/>
  <c r="E42" i="2" s="1"/>
  <c r="E10" i="10"/>
  <c r="D42" i="2"/>
  <c r="F53" i="2"/>
  <c r="E22" i="10"/>
  <c r="G53" i="2" s="1"/>
  <c r="I58" i="11"/>
  <c r="C92" i="11"/>
  <c r="C87" i="11"/>
  <c r="D52" i="2"/>
  <c r="B19" i="10"/>
  <c r="N51" i="7"/>
  <c r="D55" i="2"/>
  <c r="G19" i="10"/>
  <c r="E55" i="2" s="1"/>
  <c r="G9" i="10"/>
  <c r="E44" i="2" s="1"/>
  <c r="G10" i="10"/>
  <c r="D44" i="2"/>
  <c r="D89" i="11"/>
  <c r="F45" i="2"/>
  <c r="H12" i="10"/>
  <c r="H15" i="10"/>
  <c r="H11" i="10"/>
  <c r="M51" i="7"/>
  <c r="N39" i="7"/>
  <c r="G88" i="11"/>
  <c r="G89" i="11" s="1"/>
  <c r="I15" i="10"/>
  <c r="F46" i="2"/>
  <c r="I11" i="10"/>
  <c r="I12" i="10"/>
  <c r="D52" i="7"/>
  <c r="B31" i="10" s="1"/>
  <c r="P5" i="7"/>
  <c r="T5" i="7" s="1"/>
  <c r="E52" i="2" l="1"/>
  <c r="J18" i="10"/>
  <c r="J7" i="10"/>
  <c r="C88" i="11"/>
  <c r="I87" i="11"/>
  <c r="I31" i="4" s="1"/>
  <c r="C31" i="4"/>
  <c r="U5" i="7"/>
  <c r="D45" i="10"/>
  <c r="E11" i="13" s="1"/>
  <c r="I13" i="10"/>
  <c r="D43" i="2"/>
  <c r="F9" i="10"/>
  <c r="E43" i="2" s="1"/>
  <c r="D13" i="10"/>
  <c r="D40" i="10"/>
  <c r="E6" i="13" s="1"/>
  <c r="K22" i="10"/>
  <c r="G52" i="2"/>
  <c r="I92" i="11"/>
  <c r="C36" i="4"/>
  <c r="E15" i="10"/>
  <c r="E11" i="10"/>
  <c r="F42" i="2"/>
  <c r="E12" i="10"/>
  <c r="E39" i="2"/>
  <c r="B10" i="10"/>
  <c r="D54" i="2"/>
  <c r="F19" i="10"/>
  <c r="E54" i="2" s="1"/>
  <c r="C15" i="10"/>
  <c r="F40" i="2"/>
  <c r="C11" i="10"/>
  <c r="C12" i="10"/>
  <c r="E91" i="11"/>
  <c r="E21" i="13"/>
  <c r="E34" i="4"/>
  <c r="F54" i="2"/>
  <c r="F22" i="10"/>
  <c r="G54" i="2" s="1"/>
  <c r="G11" i="1"/>
  <c r="A57" i="2"/>
  <c r="Q35" i="8"/>
  <c r="P37" i="8"/>
  <c r="P39" i="7"/>
  <c r="T39" i="7" s="1"/>
  <c r="U39" i="7" s="1"/>
  <c r="B34" i="10"/>
  <c r="D44" i="10"/>
  <c r="E10" i="13" s="1"/>
  <c r="H13" i="10"/>
  <c r="D33" i="4"/>
  <c r="D90" i="11"/>
  <c r="G15" i="10"/>
  <c r="F44" i="2"/>
  <c r="G12" i="10"/>
  <c r="G11" i="10"/>
  <c r="R37" i="8"/>
  <c r="E13" i="10" l="1"/>
  <c r="D41" i="10"/>
  <c r="E7" i="13" s="1"/>
  <c r="D91" i="11"/>
  <c r="E20" i="13"/>
  <c r="D34" i="4"/>
  <c r="H14" i="10"/>
  <c r="E44" i="10"/>
  <c r="G45" i="2"/>
  <c r="G46" i="2"/>
  <c r="I14" i="10"/>
  <c r="E45" i="10"/>
  <c r="B15" i="10"/>
  <c r="F39" i="2"/>
  <c r="B11" i="10"/>
  <c r="B12" i="10"/>
  <c r="A40" i="4"/>
  <c r="I36" i="4"/>
  <c r="T51" i="7"/>
  <c r="V51" i="7" s="1"/>
  <c r="D47" i="2"/>
  <c r="D48" i="2" s="1"/>
  <c r="J9" i="10"/>
  <c r="K7" i="10"/>
  <c r="D39" i="10"/>
  <c r="E5" i="13" s="1"/>
  <c r="C13" i="10"/>
  <c r="K19" i="10"/>
  <c r="D43" i="10"/>
  <c r="E9" i="13" s="1"/>
  <c r="G13" i="10"/>
  <c r="D14" i="10"/>
  <c r="G41" i="2"/>
  <c r="E40" i="10"/>
  <c r="F10" i="10"/>
  <c r="I88" i="11"/>
  <c r="I32" i="4" s="1"/>
  <c r="C32" i="4"/>
  <c r="C89" i="11"/>
  <c r="F21" i="13"/>
  <c r="G21" i="13" s="1"/>
  <c r="H21" i="13" s="1"/>
  <c r="E35" i="4"/>
  <c r="J19" i="10"/>
  <c r="K18" i="10"/>
  <c r="C14" i="10" l="1"/>
  <c r="E39" i="10"/>
  <c r="G40" i="2"/>
  <c r="E47" i="2"/>
  <c r="E48" i="2" s="1"/>
  <c r="K9" i="10"/>
  <c r="J10" i="10"/>
  <c r="F11" i="13"/>
  <c r="G11" i="13" s="1"/>
  <c r="F10" i="13"/>
  <c r="G10" i="13" s="1"/>
  <c r="G14" i="10"/>
  <c r="E43" i="10"/>
  <c r="G44" i="2"/>
  <c r="B13" i="10"/>
  <c r="D38" i="10"/>
  <c r="E4" i="13" s="1"/>
  <c r="C90" i="11"/>
  <c r="I89" i="11"/>
  <c r="I33" i="4" s="1"/>
  <c r="C33" i="4"/>
  <c r="F20" i="13"/>
  <c r="G20" i="13" s="1"/>
  <c r="H20" i="13" s="1"/>
  <c r="D35" i="4"/>
  <c r="F15" i="10"/>
  <c r="F43" i="2"/>
  <c r="F11" i="10"/>
  <c r="F12" i="10"/>
  <c r="G42" i="2"/>
  <c r="E14" i="10"/>
  <c r="E41" i="10"/>
  <c r="F6" i="13"/>
  <c r="G6" i="13" s="1"/>
  <c r="F7" i="13" l="1"/>
  <c r="G7" i="13" s="1"/>
  <c r="C91" i="11"/>
  <c r="E19" i="13"/>
  <c r="C34" i="4"/>
  <c r="E38" i="10"/>
  <c r="B14" i="10"/>
  <c r="G39" i="2"/>
  <c r="D42" i="10"/>
  <c r="E8" i="13" s="1"/>
  <c r="F13" i="10"/>
  <c r="F9" i="13"/>
  <c r="G9" i="13" s="1"/>
  <c r="J11" i="10"/>
  <c r="J15" i="10"/>
  <c r="K15" i="10" s="1"/>
  <c r="F47" i="2"/>
  <c r="F48" i="2" s="1"/>
  <c r="D11" i="1" s="1"/>
  <c r="D14" i="1" s="1"/>
  <c r="J12" i="10"/>
  <c r="K10" i="10"/>
  <c r="F39" i="10"/>
  <c r="F5" i="13"/>
  <c r="G5" i="13" s="1"/>
  <c r="F14" i="10" l="1"/>
  <c r="E42" i="10"/>
  <c r="G43" i="2"/>
  <c r="D46" i="10"/>
  <c r="E12" i="13" s="1"/>
  <c r="J13" i="10"/>
  <c r="F4" i="13"/>
  <c r="G4" i="13" s="1"/>
  <c r="F38" i="10"/>
  <c r="F45" i="10"/>
  <c r="F44" i="10"/>
  <c r="F40" i="10"/>
  <c r="F19" i="13"/>
  <c r="G19" i="13" s="1"/>
  <c r="H19" i="13" s="1"/>
  <c r="I91" i="11"/>
  <c r="I35" i="4" s="1"/>
  <c r="C35" i="4"/>
  <c r="F41" i="10"/>
  <c r="H4" i="13" l="1"/>
  <c r="H6" i="13"/>
  <c r="G47" i="2"/>
  <c r="G48" i="2" s="1"/>
  <c r="E11" i="1" s="1"/>
  <c r="J14" i="10"/>
  <c r="K14" i="10" s="1"/>
  <c r="E46" i="10"/>
  <c r="C46" i="10"/>
  <c r="D12" i="13" s="1"/>
  <c r="H7" i="13"/>
  <c r="K13" i="10"/>
  <c r="F42" i="10"/>
  <c r="F8" i="13"/>
  <c r="G8" i="13" s="1"/>
  <c r="H8" i="13" s="1"/>
  <c r="F43" i="10"/>
  <c r="H9" i="13"/>
  <c r="H5" i="13"/>
  <c r="F11" i="1" l="1"/>
  <c r="F14" i="1" s="1"/>
  <c r="E14" i="1"/>
  <c r="F12" i="13"/>
  <c r="G12" i="13" s="1"/>
  <c r="H12" i="13" s="1"/>
  <c r="F46" i="10"/>
  <c r="H11" i="13"/>
  <c r="H10" i="13"/>
  <c r="G25" i="13"/>
  <c r="A31" i="1" s="1"/>
  <c r="H23" i="5"/>
  <c r="H18" i="5"/>
  <c r="H13" i="5"/>
  <c r="H14" i="5"/>
  <c r="H25" i="5"/>
  <c r="H27" i="5"/>
  <c r="H12" i="5"/>
  <c r="H16" i="5"/>
  <c r="H20" i="5"/>
  <c r="H19" i="5"/>
  <c r="H26" i="5"/>
  <c r="H15" i="5"/>
  <c r="H24" i="5"/>
  <c r="H22" i="5"/>
  <c r="H21" i="5"/>
  <c r="H17" i="5"/>
  <c r="A21" i="5" l="1"/>
  <c r="F21" i="5"/>
  <c r="E21" i="5"/>
  <c r="D21" i="5"/>
  <c r="C21" i="5"/>
  <c r="B21" i="5"/>
  <c r="A24" i="5"/>
  <c r="F24" i="5"/>
  <c r="E24" i="5"/>
  <c r="B24" i="5"/>
  <c r="D24" i="5"/>
  <c r="C24" i="5"/>
  <c r="A15" i="5"/>
  <c r="B15" i="5"/>
  <c r="F15" i="5"/>
  <c r="E15" i="5"/>
  <c r="D15" i="5"/>
  <c r="C15" i="5"/>
  <c r="B19" i="5"/>
  <c r="F19" i="5"/>
  <c r="D19" i="5"/>
  <c r="C19" i="5"/>
  <c r="A19" i="5"/>
  <c r="E19" i="5"/>
  <c r="D16" i="5"/>
  <c r="A16" i="5"/>
  <c r="F16" i="5"/>
  <c r="B16" i="5"/>
  <c r="E16" i="5"/>
  <c r="C16" i="5"/>
  <c r="A12" i="5"/>
  <c r="F12" i="5"/>
  <c r="E12" i="5"/>
  <c r="D12" i="5"/>
  <c r="C12" i="5"/>
  <c r="B12" i="5"/>
  <c r="E25" i="5"/>
  <c r="C25" i="5"/>
  <c r="D25" i="5"/>
  <c r="B25" i="5"/>
  <c r="F25" i="5"/>
  <c r="A25" i="5"/>
  <c r="D14" i="5"/>
  <c r="A14" i="5"/>
  <c r="F14" i="5"/>
  <c r="E14" i="5"/>
  <c r="C14" i="5"/>
  <c r="B14" i="5"/>
  <c r="F17" i="5"/>
  <c r="A17" i="5"/>
  <c r="B17" i="5"/>
  <c r="E17" i="5"/>
  <c r="D17" i="5"/>
  <c r="C17" i="5"/>
  <c r="A22" i="5"/>
  <c r="F22" i="5"/>
  <c r="E22" i="5"/>
  <c r="D22" i="5"/>
  <c r="C22" i="5"/>
  <c r="B22" i="5"/>
  <c r="B26" i="5"/>
  <c r="A26" i="5"/>
  <c r="D26" i="5"/>
  <c r="C26" i="5"/>
  <c r="F26" i="5"/>
  <c r="E26" i="5"/>
  <c r="B20" i="5"/>
  <c r="C20" i="5"/>
  <c r="A20" i="5"/>
  <c r="F20" i="5"/>
  <c r="E20" i="5"/>
  <c r="D20" i="5"/>
  <c r="F27" i="5"/>
  <c r="E27" i="5"/>
  <c r="D27" i="5"/>
  <c r="C27" i="5"/>
  <c r="B27" i="5"/>
  <c r="A27" i="5"/>
  <c r="F13" i="5"/>
  <c r="A13" i="5"/>
  <c r="E13" i="5"/>
  <c r="D13" i="5"/>
  <c r="C13" i="5"/>
  <c r="B13" i="5"/>
  <c r="F18" i="5"/>
  <c r="E18" i="5"/>
  <c r="D18" i="5"/>
  <c r="C18" i="5"/>
  <c r="B18" i="5"/>
  <c r="A18" i="5"/>
  <c r="F23" i="5"/>
  <c r="E23" i="5"/>
  <c r="D23" i="5"/>
  <c r="C23" i="5"/>
  <c r="B23" i="5"/>
  <c r="A23" i="5"/>
  <c r="A32" i="1"/>
  <c r="D16" i="1"/>
  <c r="B17" i="1" s="1"/>
  <c r="B32" i="12" s="1"/>
  <c r="F28" i="5"/>
  <c r="F38" i="12" l="1"/>
  <c r="B33" i="12"/>
  <c r="C34" i="5"/>
  <c r="B30" i="5"/>
  <c r="F30" i="5"/>
  <c r="F29" i="5"/>
  <c r="B28" i="5"/>
  <c r="B29" i="5"/>
  <c r="E41" i="5" l="1"/>
  <c r="E44" i="5"/>
  <c r="E43" i="5"/>
  <c r="E42" i="5"/>
  <c r="C38" i="5"/>
  <c r="F40" i="5"/>
  <c r="G38" i="12"/>
  <c r="F25" i="1" s="1"/>
  <c r="G25" i="1"/>
  <c r="B50" i="12"/>
  <c r="B34" i="12"/>
  <c r="B35" i="12"/>
  <c r="C39" i="12" l="1"/>
  <c r="C40" i="12"/>
  <c r="C42" i="12"/>
  <c r="C41" i="12"/>
  <c r="C21" i="1"/>
  <c r="D42" i="12" l="1"/>
  <c r="B29" i="1"/>
  <c r="D41" i="12"/>
  <c r="B28" i="1"/>
  <c r="D40" i="12"/>
  <c r="B27" i="1"/>
  <c r="B26" i="1"/>
  <c r="D39" i="12"/>
  <c r="E26" i="1" l="1"/>
  <c r="E39" i="12"/>
  <c r="E27" i="1"/>
  <c r="E40" i="12"/>
  <c r="E28" i="1"/>
  <c r="E41" i="12"/>
  <c r="E29" i="1"/>
  <c r="E42" i="12"/>
  <c r="D27" i="1" l="1"/>
  <c r="C42" i="5"/>
  <c r="F40" i="12"/>
  <c r="D29" i="1"/>
  <c r="C44" i="5"/>
  <c r="F42" i="12"/>
  <c r="C43" i="5"/>
  <c r="D28" i="1"/>
  <c r="F41" i="12"/>
  <c r="D26" i="1"/>
  <c r="C41" i="5"/>
  <c r="F39" i="12"/>
  <c r="F41" i="5" l="1"/>
  <c r="G39" i="12"/>
  <c r="F26" i="1" s="1"/>
  <c r="G26" i="1"/>
  <c r="G28" i="1"/>
  <c r="F43" i="5"/>
  <c r="G41" i="12"/>
  <c r="F28" i="1" s="1"/>
  <c r="F44" i="5"/>
  <c r="G29" i="1"/>
  <c r="G42" i="12"/>
  <c r="F29" i="1" s="1"/>
  <c r="G40" i="12"/>
  <c r="F27" i="1" s="1"/>
  <c r="G27" i="1"/>
  <c r="F42" i="5"/>
</calcChain>
</file>

<file path=xl/sharedStrings.xml><?xml version="1.0" encoding="utf-8"?>
<sst xmlns="http://schemas.openxmlformats.org/spreadsheetml/2006/main" count="2257" uniqueCount="884">
  <si>
    <t>Buyurtma — mebel narx kalkulyatori</t>
  </si>
  <si>
    <t>1) Mijoz ma'lumotlarini yozing.  2) Buyurtmaga kiradigan bo'limni "Ha" qiling va o'sha varaqda o'lchamlarni kiriting.  3) To'lov shartini tanlang.  4) "Mijoz uchun" varag'ini A4 ga chop eting.</t>
  </si>
  <si>
    <t>Mijoz F.I.O.</t>
  </si>
  <si>
    <t>Telefon</t>
  </si>
  <si>
    <t>Sana</t>
  </si>
  <si>
    <t>Bugungi sana avtomatik; kerak bo'lsa o'zgartiring</t>
  </si>
  <si>
    <t>Filial</t>
  </si>
  <si>
    <t>Sotuvchi (xodim)</t>
  </si>
  <si>
    <t>Bo'lim</t>
  </si>
  <si>
    <t>Buyurtmada bormi?</t>
  </si>
  <si>
    <t>Varaq</t>
  </si>
  <si>
    <t>Tan narx (so'm)</t>
  </si>
  <si>
    <t>Sotuv narxi, naqd (so'm)</t>
  </si>
  <si>
    <t>Baraka ustamasi (so'm)</t>
  </si>
  <si>
    <t>Ogohlantirish</t>
  </si>
  <si>
    <t>Spalniy garnitur</t>
  </si>
  <si>
    <t>Ha</t>
  </si>
  <si>
    <t>Spalniy</t>
  </si>
  <si>
    <t>Oshxona mebeli (pogon metr)</t>
  </si>
  <si>
    <t>Yo'q</t>
  </si>
  <si>
    <t>Oshxona</t>
  </si>
  <si>
    <t>Korpus mebel (shkaf, prixojka, garderob)</t>
  </si>
  <si>
    <t>Korpus mebel</t>
  </si>
  <si>
    <t>JAMI</t>
  </si>
  <si>
    <t>Chegirma, % (ixtiyoriy)</t>
  </si>
  <si>
    <t>Chegirma summasi:</t>
  </si>
  <si>
    <t>NAQD NARX (chegirma bilan)</t>
  </si>
  <si>
    <t>TO'LOV SHARTI</t>
  </si>
  <si>
    <t>To'lov turi</t>
  </si>
  <si>
    <t>Naqd</t>
  </si>
  <si>
    <t>Oldindan to'lov, % (masalan 20%)</t>
  </si>
  <si>
    <t>Oldindan to'lov, so'm (ixtiyoriy — yozilsa, % o'rniga shu olinadi)</t>
  </si>
  <si>
    <t>Oylik ustama</t>
  </si>
  <si>
    <t>Oy</t>
  </si>
  <si>
    <t>Oylik to'lov (so'm)</t>
  </si>
  <si>
    <t>Ustama summasi (so'm)</t>
  </si>
  <si>
    <t>Naqddan farq (so'm)</t>
  </si>
  <si>
    <t>Jami to'lov (so'm)</t>
  </si>
  <si>
    <t>Mijozga berish: "Mijoz uchun" varag'ini A4 ga chop eting (tanlangan to'lov turi yashil bilan belgilanadi).</t>
  </si>
  <si>
    <t>Spalniy garnitur — hisoblash</t>
  </si>
  <si>
    <t>Mijozdan olingan o'lchamlarni sariq kataklarga kiriting. Kerak bo'lmagan mahsulot sonini 0 qiling. Mijoz ma'lumotlari va to'lov sharti — "Buyurtma" varag'ida.</t>
  </si>
  <si>
    <t>Mahsulot</t>
  </si>
  <si>
    <t>Ko'rsatkich</t>
  </si>
  <si>
    <t>Qiymat</t>
  </si>
  <si>
    <t>Birlik</t>
  </si>
  <si>
    <t>Eslatma</t>
  </si>
  <si>
    <t>Shkaf</t>
  </si>
  <si>
    <t>Shkaf soni</t>
  </si>
  <si>
    <t>dona</t>
  </si>
  <si>
    <t>Balandligi (buyi)</t>
  </si>
  <si>
    <t>sm</t>
  </si>
  <si>
    <t>Chuqurligi (eni)</t>
  </si>
  <si>
    <t>Uzunligi</t>
  </si>
  <si>
    <t>Eshiklar soni</t>
  </si>
  <si>
    <t>Eshiklardagi oynalar soni</t>
  </si>
  <si>
    <t>Yuz qismi (eshiklar, tsokol)</t>
  </si>
  <si>
    <t>Laminat</t>
  </si>
  <si>
    <t>Yon qismi (yon devorlar)</t>
  </si>
  <si>
    <t>Krovat</t>
  </si>
  <si>
    <t>Krovat soni</t>
  </si>
  <si>
    <t>Uzunligi (buyi)</t>
  </si>
  <si>
    <t>Eni</t>
  </si>
  <si>
    <t>Oyoq tomoni balandligi</t>
  </si>
  <si>
    <t>Bosh tomoni (spinka) balandligi</t>
  </si>
  <si>
    <t>Bosh spinkada figura</t>
  </si>
  <si>
    <t>Kapot turi (matras tagi)</t>
  </si>
  <si>
    <t>Oddiy</t>
  </si>
  <si>
    <t>Matras</t>
  </si>
  <si>
    <t>180x200</t>
  </si>
  <si>
    <t>Trimo</t>
  </si>
  <si>
    <t>Trimo soni</t>
  </si>
  <si>
    <t>Balandligi</t>
  </si>
  <si>
    <t>Yuz qismi (eshik, yashik fasadlari, tsokol)</t>
  </si>
  <si>
    <t>Yon qismi (yon devorlar, ustki qopqoq)</t>
  </si>
  <si>
    <t>Tumbochka</t>
  </si>
  <si>
    <t>Tumbochka soni</t>
  </si>
  <si>
    <t>Yuz qismi (yashik fasadlari, tsokol)</t>
  </si>
  <si>
    <t>Chester</t>
  </si>
  <si>
    <t>Chester soni</t>
  </si>
  <si>
    <t>Pufik</t>
  </si>
  <si>
    <t>Pufik soni</t>
  </si>
  <si>
    <t>Stoyka oyna</t>
  </si>
  <si>
    <t>Alohida stoyka oyna soni</t>
  </si>
  <si>
    <t>Usta</t>
  </si>
  <si>
    <t>Usta (Ustalar ro'yxatidan tanlang)</t>
  </si>
  <si>
    <t>NARX HISOBI</t>
  </si>
  <si>
    <t>Joriy kurs (1 $):</t>
  </si>
  <si>
    <t>Tavsif</t>
  </si>
  <si>
    <t>Soni</t>
  </si>
  <si>
    <t>Xom ashyo (so'm)</t>
  </si>
  <si>
    <t>Usta haqi (so'm)</t>
  </si>
  <si>
    <t>Qadoqlash</t>
  </si>
  <si>
    <t>LAMINAT va KRASHENIY narxi (mijozga taklif qilish uchun)</t>
  </si>
  <si>
    <t>Krasheniy qismi</t>
  </si>
  <si>
    <t>Laminat: tan narx</t>
  </si>
  <si>
    <t>Laminat: sotuv narxi</t>
  </si>
  <si>
    <t>Krasheniy: tan narx</t>
  </si>
  <si>
    <t>Krasheniy: sotuv narxi</t>
  </si>
  <si>
    <t>Oshxona mebeli — pogon metr bo'yicha hisoblash</t>
  </si>
  <si>
    <t>Sariq kataklarni to'ldiring: xomashyo, balandlik, uzunlik (metrda). Kerak bo'lsa 1 m narxini qo'lda yozing. Buyurtmaga qo'shish uchun "Buyurtma" varag'ida Oshxona mebeli = Ha qiling.</t>
  </si>
  <si>
    <t>№</t>
  </si>
  <si>
    <t>Xomashyo</t>
  </si>
  <si>
    <t>Balandligi (m)</t>
  </si>
  <si>
    <t>Uzunligi (m)</t>
  </si>
  <si>
    <t>1 m narxi — jadvaldan ($)</t>
  </si>
  <si>
    <t>1 m narxi — qo'lda ($)</t>
  </si>
  <si>
    <t>Hisobdagi 1 m narxi ($)</t>
  </si>
  <si>
    <t>Jami ($)</t>
  </si>
  <si>
    <t>Sotuv narxi, 1 m (so'm)</t>
  </si>
  <si>
    <t>Sotuv narxi, jami (so'm)</t>
  </si>
  <si>
    <t>Izoh</t>
  </si>
  <si>
    <t>Akril</t>
  </si>
  <si>
    <t>namuna — o'chirib, o'zingiznikini yozing</t>
  </si>
  <si>
    <t>• Balandlik va uzunlikni xohlagan qiymatda yozish mumkin (ro'yxatdagidan boshqa ham). Jami ($) = Uzunligi × Hisobdagi 1 m narxi.</t>
  </si>
  <si>
    <t>• 1 m narxi: "qo'lda" ustuniga narx yozilsa, shu ishlatiladi. Bo'sh qolsa — "Oshxona narxlari" jadvalidan xomashyo va balandlik bo'yicha olinadi.</t>
  </si>
  <si>
    <t>• Jadvalda yo'q balandlik yozilsa ("narx yo'q" chiqadi) — narxni qo'lda yozing yoki "Oshxona narxlari" jadvaliga yangi qator qo'shing.</t>
  </si>
  <si>
    <t>• Dollar kursi — Sozlamalardagi joriy kurs. Baraka ustamasi va 1 m narxi turi — Sozlamalar, 1- va 7-bo'lim.</t>
  </si>
  <si>
    <t>Korpus mebel — shkaf, prixojka, garderob (mijoz o'lchami bo'yicha)</t>
  </si>
  <si>
    <t>Har bir buyum uchun bitta ustun. O'lchamlarni sm da yozing. Bo'limlar va eshiklar sonini bo'sh qoldirsangiz, avtomatik hisoblanadi. Ishlatilmaydigan ustunda soni = 0 yoki bo'sh. Buyurtmaga qo'shish uchun "Buyurtma" varag'ida Korpus mebel = Ha qiling.</t>
  </si>
  <si>
    <t>Buyum 1</t>
  </si>
  <si>
    <t>Buyum 2</t>
  </si>
  <si>
    <t>Buyum 3</t>
  </si>
  <si>
    <t>Buyum 4</t>
  </si>
  <si>
    <t>Buyum 5</t>
  </si>
  <si>
    <t>Buyum 6</t>
  </si>
  <si>
    <t>Jami</t>
  </si>
  <si>
    <t>Turi</t>
  </si>
  <si>
    <t>Prixojka</t>
  </si>
  <si>
    <t>Garderob</t>
  </si>
  <si>
    <t>Izoh (joyi, mijoz istagi)</t>
  </si>
  <si>
    <t>Namuna: yotoqxona</t>
  </si>
  <si>
    <t>Namuna: yo'lak</t>
  </si>
  <si>
    <t>Namuna: kiyim xonasi</t>
  </si>
  <si>
    <t>Uzunligi (eni)</t>
  </si>
  <si>
    <t>Chuqurligi</t>
  </si>
  <si>
    <t>Bo'limlar soni (bo'sh = avtomatik)</t>
  </si>
  <si>
    <t>Eshik turi</t>
  </si>
  <si>
    <t>Kupe</t>
  </si>
  <si>
    <t>Eshiksiz</t>
  </si>
  <si>
    <t>Eshiklar soni (bo'sh = avtomatik)</t>
  </si>
  <si>
    <t>Shundan oynali eshiklar</t>
  </si>
  <si>
    <t>Polkalar soni (jami)</t>
  </si>
  <si>
    <t>Yashiklar soni</t>
  </si>
  <si>
    <t>Kiyim ilgich (shtanga) bo'limlari</t>
  </si>
  <si>
    <t>Ilgaklar (kiyim ilmog'i)</t>
  </si>
  <si>
    <t>Orqa devor (DVP)</t>
  </si>
  <si>
    <t>Yuz qismi (eshik, yashik, tsokol)</t>
  </si>
  <si>
    <t>NATIJA</t>
  </si>
  <si>
    <t>Bo'limlar (hisobda)</t>
  </si>
  <si>
    <t>Eshiklar (hisobda)</t>
  </si>
  <si>
    <t>Eshik o'lchami (eni × balandligi)</t>
  </si>
  <si>
    <t>Plita (LDSP + MDF), 1 dona</t>
  </si>
  <si>
    <t>m²</t>
  </si>
  <si>
    <t>Bo'yaladigan maydon, 1 dona</t>
  </si>
  <si>
    <t>Xom ashyo</t>
  </si>
  <si>
    <t>so'm</t>
  </si>
  <si>
    <t>Usta haqi</t>
  </si>
  <si>
    <t>Tan narx</t>
  </si>
  <si>
    <t>Sotuv narxi — 1 dona (naqd)</t>
  </si>
  <si>
    <t>SOTUV NARXI (naqd)</t>
  </si>
  <si>
    <t>Narxi yo'q xom ashyo</t>
  </si>
  <si>
    <t>ta</t>
  </si>
  <si>
    <t>Tavsif (mijoz varag'ida)</t>
  </si>
  <si>
    <t>NARX TAKLIFI</t>
  </si>
  <si>
    <t>Mijoz:</t>
  </si>
  <si>
    <t>Telefon:</t>
  </si>
  <si>
    <t>Sotuvchi:</t>
  </si>
  <si>
    <t>Sana:</t>
  </si>
  <si>
    <t>Buyurtma tarkibi</t>
  </si>
  <si>
    <t>Miqdori</t>
  </si>
  <si>
    <t>Birlik narxi</t>
  </si>
  <si>
    <t>Summa (so'm)</t>
  </si>
  <si>
    <t>To'lov sharti</t>
  </si>
  <si>
    <t>To'lov turi:</t>
  </si>
  <si>
    <t>To'lov variantlari</t>
  </si>
  <si>
    <t>Oldindan to'lov</t>
  </si>
  <si>
    <t>—</t>
  </si>
  <si>
    <t>Sotuvchi: ____________________</t>
  </si>
  <si>
    <t>Mijoz: ____________________</t>
  </si>
  <si>
    <t>Ustalar ro'yxati</t>
  </si>
  <si>
    <t>Har bir usta bilan kelishilgan foizni kiriting. Usta haqi = buyurtmaning xom ashyo summasi × kelishuv %. Panelda usta shu ro'yxatdan tanlanadi. Sariq kataklarni to'ldiring.</t>
  </si>
  <si>
    <t>Namuna (to'ldirish formati): Karimov Anvar | +998 90 123 45 67 | Korpus mebel | Qo'qon sh., Navoiy ko'chasi | 18% | 01.10.2026</t>
  </si>
  <si>
    <t>Usta F.I.O.</t>
  </si>
  <si>
    <t>Ish turi (mutaxassisligi)</t>
  </si>
  <si>
    <t>Ustaxona / manzil</t>
  </si>
  <si>
    <t>Kelishuv, % (xom ashyo summasiga)</t>
  </si>
  <si>
    <t>Shartnoma sanasi</t>
  </si>
  <si>
    <t>Laminat xom ashyo — narxlar va sarf</t>
  </si>
  <si>
    <t>Barcha mahsulotlar LAMINAT variantida hisoblanadi (krovat kapoti — DSP). Shkaf, trimo, chester, tumbochkada panelda krasheniy tanlansa, buyurtma tannarxi o'sha mahsulot uchun Krasheniy varag'idan olinadi, bu yerdagi miqdor esa taqqoslash uchun qoladi. Sariq kataklar — 1 birlik narxi. Mahsulot ustunlari — sof sarf (otxodsiz).</t>
  </si>
  <si>
    <t>Guruh</t>
  </si>
  <si>
    <t>Jami sof</t>
  </si>
  <si>
    <t>Otxod / zapas</t>
  </si>
  <si>
    <t>Jami kerak</t>
  </si>
  <si>
    <t>Narx turi</t>
  </si>
  <si>
    <t>Narx (kiritilgan)</t>
  </si>
  <si>
    <t>Narx (so'm, joriy kurs)</t>
  </si>
  <si>
    <t>Summa ($)</t>
  </si>
  <si>
    <t>Asosiy</t>
  </si>
  <si>
    <t>LDSP 16mm (laminat)</t>
  </si>
  <si>
    <t>list</t>
  </si>
  <si>
    <t>So'm (kursga bog'liq)</t>
  </si>
  <si>
    <t>Narx 1 list uchun</t>
  </si>
  <si>
    <t>DSP 16mm — oddiy kapot</t>
  </si>
  <si>
    <t>Krovat kapoti (matras tagi), oddiy; narx 1 list uchun</t>
  </si>
  <si>
    <t>DSP 16mm — nasosli kapot</t>
  </si>
  <si>
    <t>Krovat kapoti, nasosli; narx 1 list uchun</t>
  </si>
  <si>
    <t>DVP 3mm (orqa devor, yashik tagi)</t>
  </si>
  <si>
    <t>Oyna 4mm (ko'zgu)</t>
  </si>
  <si>
    <t>Shkaf eshik oynalari + stoyka oyna</t>
  </si>
  <si>
    <t>Kromka PVX 2mm</t>
  </si>
  <si>
    <t>m</t>
  </si>
  <si>
    <t>Narx kromkalash xizmati bilan; nasosli kapot qirralari ham shu yerda</t>
  </si>
  <si>
    <t>Kromka PVX 0.4mm</t>
  </si>
  <si>
    <t>Narx kromkalash xizmati bilan</t>
  </si>
  <si>
    <t>Furnitura</t>
  </si>
  <si>
    <t>Sharnir (mebel petlyasi) 35mm</t>
  </si>
  <si>
    <t>Ruchka (tutqich)</t>
  </si>
  <si>
    <t>juft</t>
  </si>
  <si>
    <t>Sizning izohingiz: Salaska oddiy bo'lsa 35 000</t>
  </si>
  <si>
    <t>Sizning izohingiz: Salaska oddiy bo'lsa 45 000</t>
  </si>
  <si>
    <t>Sizning izohingiz: Salaska oddiy bo'lsa 50 000</t>
  </si>
  <si>
    <t>Shtanga (kiyim ilgich trubasi)</t>
  </si>
  <si>
    <t>Shtanga derjateli</t>
  </si>
  <si>
    <t>Polka derjateli</t>
  </si>
  <si>
    <t>Konfirmat 7×50</t>
  </si>
  <si>
    <t>Sizning izohingiz: x sentrik</t>
  </si>
  <si>
    <t>Konfirmat zaglushkasi</t>
  </si>
  <si>
    <t>Shurup 3.5×16</t>
  </si>
  <si>
    <t>Sizning izohingiz: 1kg 30 000 / 1,6  - 35 000</t>
  </si>
  <si>
    <t>Shurup 4×30</t>
  </si>
  <si>
    <t>Sizning izohingiz: 1kg 35 000</t>
  </si>
  <si>
    <t>DVP mixi / skobasi</t>
  </si>
  <si>
    <t>Sizning izohingiz: 1kg 20 000</t>
  </si>
  <si>
    <t>Krovat styajkasi (burchak birikmasi)</t>
  </si>
  <si>
    <t>komplekt</t>
  </si>
  <si>
    <t>Metall burchak</t>
  </si>
  <si>
    <t>Tayanch oyoqcha (regulyatorli)</t>
  </si>
  <si>
    <t>Yog'och brus 40×40</t>
  </si>
  <si>
    <t>Kapot ko'tarish mexanizmi (nasos)</t>
  </si>
  <si>
    <t>Porolon 50 mm</t>
  </si>
  <si>
    <t>Porolon 10 mm</t>
  </si>
  <si>
    <t>Mebel matosi</t>
  </si>
  <si>
    <t>Pufik oyoqchasi</t>
  </si>
  <si>
    <t>Stepler skobasi</t>
  </si>
  <si>
    <t>Porolon kleyi</t>
  </si>
  <si>
    <t>litr</t>
  </si>
  <si>
    <t>Oyna</t>
  </si>
  <si>
    <t>Oyna kleyi (germetik)</t>
  </si>
  <si>
    <t>tuba</t>
  </si>
  <si>
    <t>Oyna ilgichi</t>
  </si>
  <si>
    <t>Tayyor mahsulot</t>
  </si>
  <si>
    <t>Matras (tayyor)</t>
  </si>
  <si>
    <t>So'm (qat'iy)</t>
  </si>
  <si>
    <t>Narxi Sozlamalar → 3. Matras narxlari dan olinadi</t>
  </si>
  <si>
    <t>Gofrokarton</t>
  </si>
  <si>
    <t>Butun buyurtma uchun; miqdori taxmin</t>
  </si>
  <si>
    <t>Strech-plyonka</t>
  </si>
  <si>
    <t>rulon</t>
  </si>
  <si>
    <t>Skotch</t>
  </si>
  <si>
    <t>Burchak himoyasi (ugolok)</t>
  </si>
  <si>
    <t>Kupe profil tizimi (rels + eshik profillari)</t>
  </si>
  <si>
    <t>Shkaf/prixojka/garderob uchun (Korpus hisob); krasheniy mebelga ham shu narx olinadi</t>
  </si>
  <si>
    <t>Kupe rolik komplekti</t>
  </si>
  <si>
    <t>Yashik napravlyayushiysi — korpus mebel</t>
  </si>
  <si>
    <t>Ilgak (kiyim ilmog'i)</t>
  </si>
  <si>
    <t>Xizmat</t>
  </si>
  <si>
    <t>Oyna qirrasini silliqlash (xizmat)</t>
  </si>
  <si>
    <t>Figurali kesish xizmati</t>
  </si>
  <si>
    <t>Faqat figurali krovatda</t>
  </si>
  <si>
    <t>Raskroy (kesish) xizmati</t>
  </si>
  <si>
    <t>LDSP + DSP listlari; o'zingiz kessangiz narxni bo'sh qoldiring</t>
  </si>
  <si>
    <t>Xom ashyo (shu varaq bo'yicha), so'm</t>
  </si>
  <si>
    <t>Narxi 0 yoki kiritilmagan, lekin kerak bo'lgan qatorlar</t>
  </si>
  <si>
    <t>Krasheniy xom ashyo — narxlar va sarf</t>
  </si>
  <si>
    <t>Shkaf, trimo, chester va tumbochka KRASHENIY variantida: bo'yaladigan qismlar MDF + bo'yoq, qolganlari laminat. 3-qatorda har mahsulot uchun qaysi qism hisoblangani yozilgan: panelda tanlangan qism, hech narsa tanlanmagan bo'lsa — to'liq krasheniy (taqqoslash uchun). Krovat kapoti qatorlari Laminat varag'i bilan bir xil (narx avtomatik); krovat tannarxi Laminat varag'idan olinadi. Sariq kataklarga krasheniy mahsulot narxlarini kiriting.</t>
  </si>
  <si>
    <t>faqat kapot</t>
  </si>
  <si>
    <t>Narx 1 list uchun; ichki qismlar (polka, to'siq, tag, yashik qutisi) va laminat qolgan qism</t>
  </si>
  <si>
    <t>MDF 16mm</t>
  </si>
  <si>
    <t>Narx 1 list uchun; bo'yaladigan qismlar</t>
  </si>
  <si>
    <t>Shkaf eshik oynalari</t>
  </si>
  <si>
    <t>Faqat laminat detallar; narx kromkalash xizmati bilan</t>
  </si>
  <si>
    <t>Krovat kapoti</t>
  </si>
  <si>
    <t>Laminat varag'i bilan bir xil — narxi o'sha yerdan olinadi</t>
  </si>
  <si>
    <t>Bo'yoq</t>
  </si>
  <si>
    <t>Grunt</t>
  </si>
  <si>
    <t>kg</t>
  </si>
  <si>
    <t>Sarf = bo'yaladigan m² × norma (Sozlamalar, taxmin)</t>
  </si>
  <si>
    <t>Emal (kraska)</t>
  </si>
  <si>
    <t>Lak</t>
  </si>
  <si>
    <t>Qotirgich (otverditel)</t>
  </si>
  <si>
    <t>Eritgich (razbavitel)</t>
  </si>
  <si>
    <t>Jilvir qog'oz (shkurka)</t>
  </si>
  <si>
    <t>Bo'yash xizmati (tashqi)</t>
  </si>
  <si>
    <t>1 m² bo'yaladigan yuza uchun. Bo'yashni usta o'zi qilsa va bu uning % ichida bo'lsa — bo'sh qoldiring</t>
  </si>
  <si>
    <t>LDSP + MDF listlari</t>
  </si>
  <si>
    <t>Oshxona mebeli — 1 pogon metr narxlari</t>
  </si>
  <si>
    <t>Narx 1 metr uzunlik uchun, dollarda. Xomashyo, balandlik va narxni o'zgartirish yoki yangi qator qo'shish mumkin — Oshxona varag'i avtomatik yangilanadi. Yangi xomashyo yoki balandlik qo'shsangiz, o'ng tomondagi ro'yxatga ham yozing.</t>
  </si>
  <si>
    <t>1 m narxi ($)</t>
  </si>
  <si>
    <t>Xomashyo turlari</t>
  </si>
  <si>
    <t>Balandliklar (m)</t>
  </si>
  <si>
    <t>Sizning faylingizdan</t>
  </si>
  <si>
    <t>MDF</t>
  </si>
  <si>
    <t>Tannarx — mahsulot bo'yicha (paneldagi buyurtma)</t>
  </si>
  <si>
    <t>Narx zanjiri: Xom ashyo → + Usta haqi (xom ashyo × usta %) = TAN NARX → + Baraka Mebel ustamasi = SOTUV NARXI (naqd, yaxlitlangan). Krasheniy tanlangan mahsulot xom ashyosi Krasheniy varag'idan, qolganlari Laminat varag'idan.</t>
  </si>
  <si>
    <t>Butun list (otxod bilan)</t>
  </si>
  <si>
    <t>Soni (paneldan)</t>
  </si>
  <si>
    <t>Buyurtmadagi variant</t>
  </si>
  <si>
    <t>Xom ashyo (buyurtma)</t>
  </si>
  <si>
    <t>Usta haqi hisoblanadimi (1 = ha, 0 = yo'q)</t>
  </si>
  <si>
    <t>Matras tayyor olinadi — usta haqi yo'q</t>
  </si>
  <si>
    <t>Usta haqi (xom ashyo × usta %)</t>
  </si>
  <si>
    <t>TAN NARX</t>
  </si>
  <si>
    <t>Tan narx — 1 dona</t>
  </si>
  <si>
    <t>Baraka ustamasi (yaxlitlash bilan)</t>
  </si>
  <si>
    <t>Tan narx ($, joriy kurs)</t>
  </si>
  <si>
    <t>Variantlar taqqoslash (shu o'lcham va soni uchun)</t>
  </si>
  <si>
    <t>Laminat bo'lsa — tan narx</t>
  </si>
  <si>
    <t>Laminat bo'lsa — sotuv narxi (naqd)</t>
  </si>
  <si>
    <t>Krasheniy varag'i hisoblagan qism</t>
  </si>
  <si>
    <t>Krasheniy bo'lsa — tan narx</t>
  </si>
  <si>
    <t>Krasheniy bo'lsa — sotuv narxi (naqd)</t>
  </si>
  <si>
    <t>Buyurtma uchun plita (list, otxodsiz)</t>
  </si>
  <si>
    <t>LDSP 16mm</t>
  </si>
  <si>
    <t>DSP — oddiy kapot</t>
  </si>
  <si>
    <t>DSP — nasosli kapot</t>
  </si>
  <si>
    <t>DVP 3mm</t>
  </si>
  <si>
    <t>Laminat varag'ida narxi yo'q qatorlar</t>
  </si>
  <si>
    <t>Krasheniy varag'ida narxi yo'q qatorlar</t>
  </si>
  <si>
    <t>Buyurtmada krasheniy mahsulot bormi (1/0)</t>
  </si>
  <si>
    <t>Tekshiruv: Furnitura ikkala varaqqa to'liq tushdimi</t>
  </si>
  <si>
    <t>Buyurtma ro'yxati (Mijoz uchun varag'i shu yerdan oladi)</t>
  </si>
  <si>
    <t>1 dona narxi</t>
  </si>
  <si>
    <t>Summa (naqd)</t>
  </si>
  <si>
    <t>Tartib</t>
  </si>
  <si>
    <t>Butun buyurtma uchun</t>
  </si>
  <si>
    <t>Korpus hisob — shkaf, prixojka, garderob (maydon bo'yicha hisob)</t>
  </si>
  <si>
    <t>Har buyum uchun plita maydoni, kromka, furnitura va bo'yoq sarfi o'lchamlardan hisoblanadi (1 dona uchun). Narxlar Laminat yoki Krasheniy xom ashyo varag'idan nomi bo'yicha olinadi: krasheniy buyumga Krasheniy narxi (u yerda bo'lmasa — Laminat narxi).</t>
  </si>
  <si>
    <t>Jami (soni bilan)</t>
  </si>
  <si>
    <t>Laminat narxi (so'm)</t>
  </si>
  <si>
    <t>Laminat otxod</t>
  </si>
  <si>
    <t>Krasheniy narxi (so'm)</t>
  </si>
  <si>
    <t>Krasheniy otxod</t>
  </si>
  <si>
    <t>Kiritilgan ma'lumot (Korpus mebel varag'idan)</t>
  </si>
  <si>
    <t>mm</t>
  </si>
  <si>
    <t>Hisoblanadimi (1/0)</t>
  </si>
  <si>
    <t>Oddiy eshik (1/0)</t>
  </si>
  <si>
    <t>Kupe eshik (1/0)</t>
  </si>
  <si>
    <t>Bo'limlar soni</t>
  </si>
  <si>
    <t>Oynali eshiklar</t>
  </si>
  <si>
    <t>Polkalar</t>
  </si>
  <si>
    <t>Yashiklar</t>
  </si>
  <si>
    <t>Shtanga bo'limlari</t>
  </si>
  <si>
    <t>Ilgaklar</t>
  </si>
  <si>
    <t>Orqa devor (1/0)</t>
  </si>
  <si>
    <t>Yuz qismi krasheniy (1/0)</t>
  </si>
  <si>
    <t>Yon qismi krasheniy (1/0)</t>
  </si>
  <si>
    <t>Krasheniy narxlari ishlatiladimi (1/0)</t>
  </si>
  <si>
    <t>Hisoblangan o'lchamlar</t>
  </si>
  <si>
    <t>Korpus chuqurligi</t>
  </si>
  <si>
    <t>Bo'lim ichki eni</t>
  </si>
  <si>
    <t>Ichki balandlik</t>
  </si>
  <si>
    <t>Eshik eni</t>
  </si>
  <si>
    <t>Eshik balandligi</t>
  </si>
  <si>
    <t>1 eshikka sharnir</t>
  </si>
  <si>
    <t>Napravlyayushiy uzunligi</t>
  </si>
  <si>
    <t>LDSP/MDF eshik panellari</t>
  </si>
  <si>
    <t>Maydon va perimetr (1 dona)</t>
  </si>
  <si>
    <t>Yon devorlar</t>
  </si>
  <si>
    <t>Qopqoq + tag</t>
  </si>
  <si>
    <t>Tsokol</t>
  </si>
  <si>
    <t>Ichki to'siqlar</t>
  </si>
  <si>
    <t>Yashik qutilari</t>
  </si>
  <si>
    <t>Eshik panellari</t>
  </si>
  <si>
    <t>Yashik fasadlari</t>
  </si>
  <si>
    <t>Yuz qismi jami (eshik + tsokol + yashik fasad)</t>
  </si>
  <si>
    <t>Ichki qismlar jami (doim laminat)</t>
  </si>
  <si>
    <t>Yuz qismi qirralari</t>
  </si>
  <si>
    <t>Yon devorlar old va tepa qirrasi</t>
  </si>
  <si>
    <t>Bo'yaladigan maydon</t>
  </si>
  <si>
    <t>Sarf — 1 dona uchun</t>
  </si>
  <si>
    <t>Narx (so'm)</t>
  </si>
  <si>
    <t>Xom ashyo (soni bilan)</t>
  </si>
  <si>
    <t>Narxi yo'q kerakli xom ashyo</t>
  </si>
  <si>
    <t>LDSP + MDF maydoni (1 dona)</t>
  </si>
  <si>
    <t>Muddatli to'lov tariflari va joriy buyurtma hisobi</t>
  </si>
  <si>
    <t>Oylik ustama oldindan to'lov ulushiga qarab olinadi. Hisoblashda faqat "dan" ustuni ishlatiladi: masalan 19.5% → 0–19% qatori, 20% → 20% dan boshlanadigan qator. Yangi qator qo'shish uchun pastdagi bo'sh qatorlarga yozing.</t>
  </si>
  <si>
    <t>Muddat (oy)</t>
  </si>
  <si>
    <t>Oldindan to'lov: dan</t>
  </si>
  <si>
    <t>Oldindan to'lov: gacha</t>
  </si>
  <si>
    <t>3 oyga ustamasiz</t>
  </si>
  <si>
    <t>Xabaringizda "3 oyga" deb yozilgan — 18 oy deb oldim, tekshiring</t>
  </si>
  <si>
    <t>Sozlama</t>
  </si>
  <si>
    <t>Ustama hisoblanadigan summa</t>
  </si>
  <si>
    <t>Qoldiq (narx − oldindan to'lov)</t>
  </si>
  <si>
    <t>Odatda qoldiq summaga: ustama = (narx − oldindan to'lov) × oylik % × oy</t>
  </si>
  <si>
    <t>Muddatlar (Buyurtma ro'yxati)</t>
  </si>
  <si>
    <t>oy</t>
  </si>
  <si>
    <t>Joriy buyurtma bo'yicha hisob</t>
  </si>
  <si>
    <t>Naqd narx (barcha bo'limlar, chegirma bilan)</t>
  </si>
  <si>
    <t>Oldindan to'lov ulushi</t>
  </si>
  <si>
    <t>Qoldiq (bo'lib to'lanadigan summa)</t>
  </si>
  <si>
    <t>Ustama summasi</t>
  </si>
  <si>
    <t>Oylik to'lov</t>
  </si>
  <si>
    <t>Jami to'lov</t>
  </si>
  <si>
    <t>Naqddan farq</t>
  </si>
  <si>
    <t>Bir yo'la to'lov</t>
  </si>
  <si>
    <t>Tanlangan (Buyurtma varag'idan)</t>
  </si>
  <si>
    <t>Tanlangan muddat (oy, 0 = naqd)</t>
  </si>
  <si>
    <t>Tanlangan qator</t>
  </si>
  <si>
    <t>Buyurtma ro'yxati — avtomatik (Mijoz uchun varag'i shu yerdan oladi)</t>
  </si>
  <si>
    <t>Birlik narxi (so'm)</t>
  </si>
  <si>
    <t>Kiritiladi (1/0)</t>
  </si>
  <si>
    <t>Oshxona mebeli</t>
  </si>
  <si>
    <t>Qatorlar soni:</t>
  </si>
  <si>
    <t>Sozlamalar — kurs, ustama, usta haqi, matras narxlari va texnik parametrlar</t>
  </si>
  <si>
    <t>Ko'k raqamlar o'zgartiriladi. Sariq — taxmin yoki rahbar to'ldiradigan qiymat. Yashil — Paneldan keladi (u yerda o'zgartiring). O'lchamlar mm da.</t>
  </si>
  <si>
    <t>Parametr</t>
  </si>
  <si>
    <t>Formuladagi nomi</t>
  </si>
  <si>
    <t>1. Valyuta kursi, Baraka Mebel ustamasi va narx yaxlitlash</t>
  </si>
  <si>
    <t>Kurs</t>
  </si>
  <si>
    <t>Narxlar olingan kundagi kurs (1 $ = so'm)</t>
  </si>
  <si>
    <t>kurs_baza</t>
  </si>
  <si>
    <t>Narxlarni yangilasangiz, shu kunning kursini yozing. 15.10.2026 MB kursi</t>
  </si>
  <si>
    <t>Joriy kurs (1 $ = so'm)</t>
  </si>
  <si>
    <t>kurs_joriy</t>
  </si>
  <si>
    <t>Kurs o'zgarsa faqat shuni yangilang — kursga bog'liq narxlar o'zi qayta hisoblanadi</t>
  </si>
  <si>
    <t>Ustama</t>
  </si>
  <si>
    <t>Baraka ustamasi — Spalniy garnitur (tan narx ustiga)</t>
  </si>
  <si>
    <t>%</t>
  </si>
  <si>
    <t>savdo_ustama</t>
  </si>
  <si>
    <t>RAHBAR BELGILAYDI. Sotuv narxi (naqd) = tan narx × (1 + ustama)</t>
  </si>
  <si>
    <t>Baraka ustamasi — Oshxona mebeli</t>
  </si>
  <si>
    <t>ustama_oshxona</t>
  </si>
  <si>
    <t>RAHBAR BELGILAYDI. 7-bo'limdagi "1 m narxi turi" Tan narx bo'lsa qo'shiladi</t>
  </si>
  <si>
    <t>Baraka ustamasi — Korpus mebel (shkaf, prixojka, garderob)</t>
  </si>
  <si>
    <t>ustama_korpus</t>
  </si>
  <si>
    <t>RAHBAR BELGILAYDI</t>
  </si>
  <si>
    <t>Yaxlitlash</t>
  </si>
  <si>
    <t>Sotuv narxi va oylik to'lovni yuqoriga yaxlitlash qadami</t>
  </si>
  <si>
    <t>yaxlit</t>
  </si>
  <si>
    <t>1000 = mingtagacha yaxlitlanadi; 1 = yaxlitlamaslik</t>
  </si>
  <si>
    <t>Kompaniya</t>
  </si>
  <si>
    <t>Kompaniya nomi (mijoz varag'ida)</t>
  </si>
  <si>
    <t>BARAKA MEBEL</t>
  </si>
  <si>
    <t>kompaniya_nomi</t>
  </si>
  <si>
    <t>Mijoz uchun varag'ining sarlavhasi</t>
  </si>
  <si>
    <t>Manzil / telefon (mijoz varag'ida)</t>
  </si>
  <si>
    <t>kompaniya_kontakt</t>
  </si>
  <si>
    <t>Masalan: Qo'qon sh., ... | +998 ...</t>
  </si>
  <si>
    <t>2. Usta haqi</t>
  </si>
  <si>
    <t>Tanlangan usta kelishuv foizi (Panelda tanlanadi, Ustalar varag'idan olinadi)</t>
  </si>
  <si>
    <t>usta_foiz</t>
  </si>
  <si>
    <t>Spalniy garnitur: usta haqi = xom ashyo summasi × shu foiz</t>
  </si>
  <si>
    <t>Korpus mebel ustasining kelishuv foizi (Korpus mebel varag'ida tanlanadi)</t>
  </si>
  <si>
    <t>usta_foiz_k</t>
  </si>
  <si>
    <t>Korpus mebel: usta haqi = xom ashyo summasi × shu foiz</t>
  </si>
  <si>
    <t>3. Matras narxlari (tayyor holda olinadi)</t>
  </si>
  <si>
    <t>Matras 140x200 sm, 1 dona narxi</t>
  </si>
  <si>
    <t>140x200</t>
  </si>
  <si>
    <t>Panelda tanlangan o'lcham shu yerdan olinadi</t>
  </si>
  <si>
    <t>Matras 160x200 sm, 1 dona narxi</t>
  </si>
  <si>
    <t>160x200</t>
  </si>
  <si>
    <t>Matras 180x200 sm, 1 dona narxi</t>
  </si>
  <si>
    <t>Matras 200x200 sm, 1 dona narxi</t>
  </si>
  <si>
    <t>200x200</t>
  </si>
  <si>
    <t>4. Mahsulot o'lchamlari va texnik parametrlar</t>
  </si>
  <si>
    <t>Umumiy</t>
  </si>
  <si>
    <t>LDSP qalinligi</t>
  </si>
  <si>
    <t>qal</t>
  </si>
  <si>
    <t>Siz bergan / standart</t>
  </si>
  <si>
    <t>Fasadlar (eshik, yashik) orasidagi tirqish</t>
  </si>
  <si>
    <t>tir</t>
  </si>
  <si>
    <t>Tsokol (pastki old planka) balandligi</t>
  </si>
  <si>
    <t>tsokol</t>
  </si>
  <si>
    <t>Yashik qutisi korpusdan shuncha tor (napravlyayushiy uchun 2×13 mm)</t>
  </si>
  <si>
    <t>zazor_nap</t>
  </si>
  <si>
    <t>Yashik qutisi balandligi fasaddan shuncha past</t>
  </si>
  <si>
    <t>zazor_quti</t>
  </si>
  <si>
    <t>Napravlyayushiy uzunligi tanlanganda korpus chuqurligidan zapas</t>
  </si>
  <si>
    <t>zazor_chuq</t>
  </si>
  <si>
    <t>Polka chuqurligi korpusdan shuncha kam</t>
  </si>
  <si>
    <t>zazor_polka</t>
  </si>
  <si>
    <t>DVP orqa devor korpusdan shuncha kichik kesiladi</t>
  </si>
  <si>
    <t>zazor_dvp</t>
  </si>
  <si>
    <t>LDSP list uzunligi</t>
  </si>
  <si>
    <t>ldsp_L</t>
  </si>
  <si>
    <t>LDSP list eni</t>
  </si>
  <si>
    <t>ldsp_W</t>
  </si>
  <si>
    <t>DVP list uzunligi</t>
  </si>
  <si>
    <t>dvp_L</t>
  </si>
  <si>
    <t>DVP list eni</t>
  </si>
  <si>
    <t>dvp_W</t>
  </si>
  <si>
    <t>Gofrokarton sarfi: LDSP maydonining shuncha qismi</t>
  </si>
  <si>
    <t>m²/m²</t>
  </si>
  <si>
    <t>upak_koef</t>
  </si>
  <si>
    <t>TAXMIN — tasdiqlang</t>
  </si>
  <si>
    <t>shkaf_soni</t>
  </si>
  <si>
    <t>Paneldan</t>
  </si>
  <si>
    <t>Shkaf balandligi (buyi)</t>
  </si>
  <si>
    <t>shkaf_H</t>
  </si>
  <si>
    <t>Shkaf chuqurligi, eshik bilan</t>
  </si>
  <si>
    <t>shkaf_D</t>
  </si>
  <si>
    <t>Shkaf uzunligi</t>
  </si>
  <si>
    <t>shkaf_W</t>
  </si>
  <si>
    <t>Eshiklar soni (har bo'limda 2 eshik)</t>
  </si>
  <si>
    <t>shkaf_eshik</t>
  </si>
  <si>
    <t>shkaf_oyna_soni</t>
  </si>
  <si>
    <t>Polkali bo'limdagi polkalar soni (qolgan bo'limlarda kiyim ilgich)</t>
  </si>
  <si>
    <t>shkaf_polka</t>
  </si>
  <si>
    <t>Eshik oynasi balandligi (siz kiritgan 3.2 m² = 4 × 160×50 sm)</t>
  </si>
  <si>
    <t>shkaf_oyna_H</t>
  </si>
  <si>
    <t>Eshik oynasi eni</t>
  </si>
  <si>
    <t>shkaf_oyna_W</t>
  </si>
  <si>
    <t>krovat_soni</t>
  </si>
  <si>
    <t>Krovat uzunligi (buyi)</t>
  </si>
  <si>
    <t>krovat_L</t>
  </si>
  <si>
    <t>Krovat eni</t>
  </si>
  <si>
    <t>krovat_W</t>
  </si>
  <si>
    <t>krovat_H</t>
  </si>
  <si>
    <t>Bosh spinka balandligi</t>
  </si>
  <si>
    <t>krovat_spinka</t>
  </si>
  <si>
    <t>Figura bormi (1 = ha)</t>
  </si>
  <si>
    <t>1/0</t>
  </si>
  <si>
    <t>krovat_fig</t>
  </si>
  <si>
    <t>Kapot nasosli bo'lsa 1</t>
  </si>
  <si>
    <t>krovat_nasos</t>
  </si>
  <si>
    <t>Yon tsarga balandligi</t>
  </si>
  <si>
    <t>krovat_tsarga</t>
  </si>
  <si>
    <t>Markaziy balka balandligi</t>
  </si>
  <si>
    <t>krovat_balka</t>
  </si>
  <si>
    <t>Figura (dekor) eni — to'rtburchak chegarasi</t>
  </si>
  <si>
    <t>figura_W</t>
  </si>
  <si>
    <t>Figura (dekor) balandligi — to'rtburchak chegarasi</t>
  </si>
  <si>
    <t>figura_H</t>
  </si>
  <si>
    <t>Figura qatlamlari soni (bosh spinka ustiga yopishtiriladi)</t>
  </si>
  <si>
    <t>figura_qatlam</t>
  </si>
  <si>
    <t>Egri qirra uzunligi to'rtburchak perimetridan necha marta ko'p</t>
  </si>
  <si>
    <t>×</t>
  </si>
  <si>
    <t>figura_koef</t>
  </si>
  <si>
    <t>Tumbochkalar soni</t>
  </si>
  <si>
    <t>tumba_soni</t>
  </si>
  <si>
    <t>Tumbochka eni</t>
  </si>
  <si>
    <t>tumba_W</t>
  </si>
  <si>
    <t>Tumbochka chuqurligi</t>
  </si>
  <si>
    <t>tumba_D</t>
  </si>
  <si>
    <t>Tumbochka balandligi</t>
  </si>
  <si>
    <t>tumba_H</t>
  </si>
  <si>
    <t>1 ta tumbochkadagi yashiklar soni</t>
  </si>
  <si>
    <t>tumba_yashik</t>
  </si>
  <si>
    <t>trimo_soni</t>
  </si>
  <si>
    <t>Trimo uzunligi</t>
  </si>
  <si>
    <t>trimo_W</t>
  </si>
  <si>
    <t>Trimo chuqurligi (eni)</t>
  </si>
  <si>
    <t>trimo_D</t>
  </si>
  <si>
    <t>Trimo balandligi</t>
  </si>
  <si>
    <t>trimo_H</t>
  </si>
  <si>
    <t>O'rtadagi yashiklar soni (ikki chetida 1 tadan eshik)</t>
  </si>
  <si>
    <t>trimo_yashik</t>
  </si>
  <si>
    <t>chest_soni</t>
  </si>
  <si>
    <t>Chester uzunligi</t>
  </si>
  <si>
    <t>chest_W</t>
  </si>
  <si>
    <t>Chester chuqurligi (eni)</t>
  </si>
  <si>
    <t>chest_D</t>
  </si>
  <si>
    <t>Chester balandligi</t>
  </si>
  <si>
    <t>chest_H</t>
  </si>
  <si>
    <t>Chesterdagi yashiklar soni</t>
  </si>
  <si>
    <t>chest_yashik</t>
  </si>
  <si>
    <t>pufik_soni</t>
  </si>
  <si>
    <t>Pufik eni va chuqurligi (kvadrat)</t>
  </si>
  <si>
    <t>pufik_W</t>
  </si>
  <si>
    <t>Pufik balandligi</t>
  </si>
  <si>
    <t>pufik_H</t>
  </si>
  <si>
    <t>O'rindiq porolon qalinligi</t>
  </si>
  <si>
    <t>pufik_porolon</t>
  </si>
  <si>
    <t>Oyoqcha balandligi</t>
  </si>
  <si>
    <t>pufik_oyoq</t>
  </si>
  <si>
    <t>oyna_soni</t>
  </si>
  <si>
    <t>Oyna balandligi (buyni ko'rsatadigan)</t>
  </si>
  <si>
    <t>oyna_H</t>
  </si>
  <si>
    <t>Oyna eni</t>
  </si>
  <si>
    <t>oyna_W</t>
  </si>
  <si>
    <t>Oyna atrofidagi LDSP panel chegarasi (har tomonga)</t>
  </si>
  <si>
    <t>oyna_ramka</t>
  </si>
  <si>
    <t>Pastki asos (podstavka) chuqurligi va yon tayanch o'lchami</t>
  </si>
  <si>
    <t>oyna_asos</t>
  </si>
  <si>
    <t>Krasheniy</t>
  </si>
  <si>
    <t>MDF list uzunligi</t>
  </si>
  <si>
    <t>mdf_L</t>
  </si>
  <si>
    <t>MDF list eni</t>
  </si>
  <si>
    <t>mdf_W</t>
  </si>
  <si>
    <t>Yuz qismi detallarining nechta tomoni bo'yaladi (qirralari doim bo'yaladi)</t>
  </si>
  <si>
    <t>tomon</t>
  </si>
  <si>
    <t>fasad_tomon</t>
  </si>
  <si>
    <t>Yon qismi detallarining nechta tomoni bo'yaladi</t>
  </si>
  <si>
    <t>korpus_tomon</t>
  </si>
  <si>
    <t>Grunt sarfi, 1 m² bo'yaladigan yuzaga (2 qatlam)</t>
  </si>
  <si>
    <t>kg/m²</t>
  </si>
  <si>
    <t>grunt_norma</t>
  </si>
  <si>
    <t>Emal (kraska) sarfi, 1 m² ga (2 qatlam)</t>
  </si>
  <si>
    <t>emal_norma</t>
  </si>
  <si>
    <t>Lak sarfi, 1 m² ga</t>
  </si>
  <si>
    <t>lak_norma</t>
  </si>
  <si>
    <t>Qotirgich (otverditel) sarfi, 1 m² ga</t>
  </si>
  <si>
    <t>qotir_norma</t>
  </si>
  <si>
    <t>Eritgich (razbavitel) sarfi, 1 m² ga</t>
  </si>
  <si>
    <t>litr/m²</t>
  </si>
  <si>
    <t>eritgich_norma</t>
  </si>
  <si>
    <t>Jilvir qog'oz (shkurka) sarfi, 1 m² ga</t>
  </si>
  <si>
    <t>dona/m²</t>
  </si>
  <si>
    <t>shkurka_norma</t>
  </si>
  <si>
    <t>DSP list uzunligi (kapot uchun)</t>
  </si>
  <si>
    <t>dsp_L</t>
  </si>
  <si>
    <t>DSP list eni (kapot uchun)</t>
  </si>
  <si>
    <t>dsp_W</t>
  </si>
  <si>
    <t>5. Hisoblangan o'lchamlar (formula — o'zgartirmang)</t>
  </si>
  <si>
    <t>Shkaf bo'limlari soni</t>
  </si>
  <si>
    <t>shkaf_sek</t>
  </si>
  <si>
    <t>MAX(1,ROUNDDOWN(shkaf_eshik/2,0))</t>
  </si>
  <si>
    <t>Shkaf korpus chuqurligi (eshiksiz)</t>
  </si>
  <si>
    <t>shkaf_Dk</t>
  </si>
  <si>
    <t>shkaf_D-qal</t>
  </si>
  <si>
    <t>Shkaf bo'limining ichki eni</t>
  </si>
  <si>
    <t>shkaf_sekW</t>
  </si>
  <si>
    <t>ROUNDDOWN((shkaf_W-(shkaf_sek+1)*qal)/shkaf_sek,0)</t>
  </si>
  <si>
    <t>Shkaf eshigi eni</t>
  </si>
  <si>
    <t>shkaf_eshikW</t>
  </si>
  <si>
    <t>ROUNDDOWN(shkaf_W/(2*shkaf_sek)-tir,0)</t>
  </si>
  <si>
    <t>Shkaf eshigi balandligi</t>
  </si>
  <si>
    <t>shkaf_eshikH</t>
  </si>
  <si>
    <t>shkaf_H-tsokol-tir</t>
  </si>
  <si>
    <t>1 ta shkaf eshigiga sharnir soni</t>
  </si>
  <si>
    <t>shkaf_petlya</t>
  </si>
  <si>
    <t>IF(shkaf_eshikH&gt;2000,5,IF(shkaf_eshikH&gt;1600,4,IF(shkaf_eshikH&gt;900,3,2)))</t>
  </si>
  <si>
    <t>Qopqoq/tag nechta bo'lakdan (list uzunligidan oshsa bo'linadi)</t>
  </si>
  <si>
    <t>shkaf_qop_n</t>
  </si>
  <si>
    <t>ROUNDUP((shkaf_W-2*qal)/(ldsp_L-20),0)</t>
  </si>
  <si>
    <t>Qopqoq/tag bo'lagi uzunligi</t>
  </si>
  <si>
    <t>shkaf_qopL</t>
  </si>
  <si>
    <t>ROUNDDOWN((shkaf_W-2*qal)/shkaf_qop_n,0)</t>
  </si>
  <si>
    <t>Krovat ichki uzunligi (spinkalar orasi)</t>
  </si>
  <si>
    <t>krovat_ichL</t>
  </si>
  <si>
    <t>krovat_L-2*qal</t>
  </si>
  <si>
    <t>Krovat ichki eni (tsargalar orasi)</t>
  </si>
  <si>
    <t>krovat_ichW</t>
  </si>
  <si>
    <t>krovat_W-2*qal</t>
  </si>
  <si>
    <t>Tumbochka korpus chuqurligi (fasadsiz)</t>
  </si>
  <si>
    <t>tumba_Dk</t>
  </si>
  <si>
    <t>tumba_D-qal</t>
  </si>
  <si>
    <t>Tumbochka yashik fasadi eni</t>
  </si>
  <si>
    <t>tumba_fasW</t>
  </si>
  <si>
    <t>tumba_W-tir</t>
  </si>
  <si>
    <t>Tumbochka yashik fasadi balandligi</t>
  </si>
  <si>
    <t>tumba_fasH</t>
  </si>
  <si>
    <t>ROUNDDOWN((tumba_H-qal-tsokol-tumba_yashik*tir)/tumba_yashik,0)</t>
  </si>
  <si>
    <t>Tumbochka yashik qutisi eni</t>
  </si>
  <si>
    <t>tumba_qW</t>
  </si>
  <si>
    <t>tumba_W-2*qal-zazor_nap</t>
  </si>
  <si>
    <t>Tumbochka yashik qutisi balandligi</t>
  </si>
  <si>
    <t>tumba_qH</t>
  </si>
  <si>
    <t>tumba_fasH-zazor_quti</t>
  </si>
  <si>
    <t>Tumbochka napravlyayushiy uzunligi</t>
  </si>
  <si>
    <t>tumba_naprav</t>
  </si>
  <si>
    <t>FLOOR(tumba_Dk-zazor_chuq,50)</t>
  </si>
  <si>
    <t>Chester korpus chuqurligi (fasadsiz)</t>
  </si>
  <si>
    <t>chest_Dk</t>
  </si>
  <si>
    <t>chest_D-qal</t>
  </si>
  <si>
    <t>Chester yashik fasadi eni</t>
  </si>
  <si>
    <t>chest_fasW</t>
  </si>
  <si>
    <t>chest_W-tir</t>
  </si>
  <si>
    <t>Chester yashik fasadi balandligi</t>
  </si>
  <si>
    <t>chest_fasH</t>
  </si>
  <si>
    <t>ROUNDDOWN((chest_H-qal-tsokol-chest_yashik*tir)/chest_yashik,0)</t>
  </si>
  <si>
    <t>Chester yashik qutisi eni</t>
  </si>
  <si>
    <t>chest_qW</t>
  </si>
  <si>
    <t>chest_W-2*qal-zazor_nap</t>
  </si>
  <si>
    <t>Chester yashik qutisi balandligi</t>
  </si>
  <si>
    <t>chest_qH</t>
  </si>
  <si>
    <t>chest_fasH-zazor_quti</t>
  </si>
  <si>
    <t>Chester napravlyayushiy uzunligi</t>
  </si>
  <si>
    <t>chest_naprav</t>
  </si>
  <si>
    <t>FLOOR(chest_Dk-zazor_chuq,50)</t>
  </si>
  <si>
    <t>Trimo korpus chuqurligi (fasadsiz)</t>
  </si>
  <si>
    <t>trimo_Dk</t>
  </si>
  <si>
    <t>trimo_D-qal</t>
  </si>
  <si>
    <t>Trimo bo'limining ichki eni (3 bo'lim)</t>
  </si>
  <si>
    <t>trimo_sekW</t>
  </si>
  <si>
    <t>ROUNDDOWN((trimo_W-4*qal)/3,0)</t>
  </si>
  <si>
    <t>Trimo eshik/yashik fasadi eni</t>
  </si>
  <si>
    <t>trimo_fasW</t>
  </si>
  <si>
    <t>ROUNDDOWN(trimo_W/3-tir,0)</t>
  </si>
  <si>
    <t>Trimo eshigi balandligi</t>
  </si>
  <si>
    <t>trimo_eshikH</t>
  </si>
  <si>
    <t>trimo_H-qal-tsokol-tir</t>
  </si>
  <si>
    <t>Trimo yashik fasadi balandligi</t>
  </si>
  <si>
    <t>trimo_fasH</t>
  </si>
  <si>
    <t>ROUNDDOWN((trimo_H-qal-tsokol-trimo_yashik*tir)/trimo_yashik,0)</t>
  </si>
  <si>
    <t>Trimo yashik qutisi eni</t>
  </si>
  <si>
    <t>trimo_qW</t>
  </si>
  <si>
    <t>trimo_sekW-zazor_nap</t>
  </si>
  <si>
    <t>Trimo yashik qutisi balandligi</t>
  </si>
  <si>
    <t>trimo_qH</t>
  </si>
  <si>
    <t>trimo_fasH-zazor_quti</t>
  </si>
  <si>
    <t>Trimo napravlyayushiy uzunligi</t>
  </si>
  <si>
    <t>trimo_naprav</t>
  </si>
  <si>
    <t>FLOOR(trimo_Dk-zazor_chuq,50)</t>
  </si>
  <si>
    <t>1 ta trimo eshigiga sharnir soni</t>
  </si>
  <si>
    <t>trimo_petlya</t>
  </si>
  <si>
    <t>IF(trimo_eshikH&gt;2000,5,IF(trimo_eshikH&gt;1600,4,IF(trimo_eshikH&gt;900,3,2)))</t>
  </si>
  <si>
    <t>Pufik qutisi balandligi</t>
  </si>
  <si>
    <t>pufik_qutiH</t>
  </si>
  <si>
    <t>pufik_H-pufik_porolon-pufik_oyoq</t>
  </si>
  <si>
    <t>6. Mahsulot varianti (formula — o'zgartirmang)</t>
  </si>
  <si>
    <t>Shkaf: buyurtmada krasheniymi (1 = yuz yoki yon qismi krasheniy)</t>
  </si>
  <si>
    <t>shkaf_kra</t>
  </si>
  <si>
    <t>1 bo'lsa tannarx Krasheniy varag'idan olinadi</t>
  </si>
  <si>
    <t>Shkaf: Krasheniy varag'ida yuz qismi bo'yaladimi</t>
  </si>
  <si>
    <t>shkaf_kyuz</t>
  </si>
  <si>
    <t>Panelda hech narsa tanlanmasa — to'liq krasheniy taqqoslash uchun</t>
  </si>
  <si>
    <t>Shkaf: Krasheniy varag'ida yon qismi bo'yaladimi</t>
  </si>
  <si>
    <t>shkaf_kyon</t>
  </si>
  <si>
    <t>Tumbochka: buyurtmada krasheniymi (1 = yuz yoki yon qismi krasheniy)</t>
  </si>
  <si>
    <t>tumba_kra</t>
  </si>
  <si>
    <t>Tumbochka: Krasheniy varag'ida yuz qismi bo'yaladimi</t>
  </si>
  <si>
    <t>tumba_kyuz</t>
  </si>
  <si>
    <t>Tumbochka: Krasheniy varag'ida yon qismi bo'yaladimi</t>
  </si>
  <si>
    <t>tumba_kyon</t>
  </si>
  <si>
    <t>Trimo: buyurtmada krasheniymi (1 = yuz yoki yon qismi krasheniy)</t>
  </si>
  <si>
    <t>trimo_kra</t>
  </si>
  <si>
    <t>Trimo: Krasheniy varag'ida yuz qismi bo'yaladimi</t>
  </si>
  <si>
    <t>trimo_kyuz</t>
  </si>
  <si>
    <t>Trimo: Krasheniy varag'ida yon qismi bo'yaladimi</t>
  </si>
  <si>
    <t>trimo_kyon</t>
  </si>
  <si>
    <t>Chester: buyurtmada krasheniymi (1 = yuz yoki yon qismi krasheniy)</t>
  </si>
  <si>
    <t>chest_kra</t>
  </si>
  <si>
    <t>Chester: Krasheniy varag'ida yuz qismi bo'yaladimi</t>
  </si>
  <si>
    <t>chest_kyuz</t>
  </si>
  <si>
    <t>Chester: Krasheniy varag'ida yon qismi bo'yaladimi</t>
  </si>
  <si>
    <t>chest_kyon</t>
  </si>
  <si>
    <t>7. Oshxona mebeli</t>
  </si>
  <si>
    <t>"Oshxona narxlari" jadvalidagi 1 m narxi qanday narx?</t>
  </si>
  <si>
    <t>Tan narx (Baraka ustamasi qo'shiladi)</t>
  </si>
  <si>
    <t>oshxona_narx_turi</t>
  </si>
  <si>
    <t>TASDIQLANG: tan narx bo'lsa, ustiga Baraka ustamasi qo'shiladi</t>
  </si>
  <si>
    <t>8. Korpus mebel (shkaf, prixojka, garderob) — texnik parametrlar</t>
  </si>
  <si>
    <t>Korpus</t>
  </si>
  <si>
    <t>Kupe eshikli shkafda rels uchun joy (korpus chuqurligidan ayriladi)</t>
  </si>
  <si>
    <t>k_kupe_zazor</t>
  </si>
  <si>
    <t>Kupe eshiklar bir-birining ustiga chiqishi</t>
  </si>
  <si>
    <t>k_kupe_ustma</t>
  </si>
  <si>
    <t>Kupe eshik balandligi shkafdan shuncha past</t>
  </si>
  <si>
    <t>k_kupe_H</t>
  </si>
  <si>
    <t>Bo'limlar soni kiritilmasa: har shuncha uzunlikka 1 bo'lim</t>
  </si>
  <si>
    <t>k_bolim_eni</t>
  </si>
  <si>
    <t>Kupe eshiklar soni kiritilmasa: har shuncha uzunlikka 1 eshik</t>
  </si>
  <si>
    <t>k_kupe_eni</t>
  </si>
  <si>
    <t>Yashik fasadi balandligi</t>
  </si>
  <si>
    <t>k_yashik_fas</t>
  </si>
  <si>
    <t>Yashik qutisi balandligi</t>
  </si>
  <si>
    <t>k_yashik_quti</t>
  </si>
  <si>
    <t>Oddiy eshikdagi oyna eshik chetidan shuncha ichkarida (har tomondan)</t>
  </si>
  <si>
    <t>k_oyna_chet</t>
  </si>
  <si>
    <t>Detallar ro'yxati (raskroy ro'yxati) — paneldagi buyurtma bo'yicha</t>
  </si>
  <si>
    <t>O'lcham va soni formulalar bilan olinadi (soni = 1 dona uchun × paneldagi mahsulot soni). Material — laminat varianti. Zona Yuz / Yon: krasheniy variantda shu detallar MDF bo'ladi, kromka o'rniga bo'yaladi (oxirgi ustun — bo'yaladigan maydon). Ichki — doim laminat. Kromka ustunlarida (ko'k) shu tomonda nechta qirra kromkalanishi: 0, 1 yoki 2.</t>
  </si>
  <si>
    <t>Detal</t>
  </si>
  <si>
    <t>Material</t>
  </si>
  <si>
    <t>Zona</t>
  </si>
  <si>
    <t>Uzunlik (mm)</t>
  </si>
  <si>
    <t>Eni (mm)</t>
  </si>
  <si>
    <t>Maydon jami (m²)</t>
  </si>
  <si>
    <t>Kromka 2mm: uzunlik bo'yicha</t>
  </si>
  <si>
    <t>Kromka 2mm: eni bo'yicha</t>
  </si>
  <si>
    <t>Kromka 0.4mm: uzunlik bo'yicha</t>
  </si>
  <si>
    <t>Kromka 0.4mm: eni bo'yicha</t>
  </si>
  <si>
    <t>Kromka 2mm (m)</t>
  </si>
  <si>
    <t>Kromka 0.4mm (m)</t>
  </si>
  <si>
    <t>Perimetr jami (m)</t>
  </si>
  <si>
    <t>Bo'yaladigan maydon, krasheniy bo'lsa (m²)</t>
  </si>
  <si>
    <t>Yon devor</t>
  </si>
  <si>
    <t>Yon</t>
  </si>
  <si>
    <t>Old va tepa qirrasi 0.4mm</t>
  </si>
  <si>
    <t>Qopqoq (tepa)</t>
  </si>
  <si>
    <t>Ichki</t>
  </si>
  <si>
    <t>Yon devorlar orasida; list uzunligidan oshsa bo'laklarga bo'linadi</t>
  </si>
  <si>
    <t>Tag (pastki)</t>
  </si>
  <si>
    <t>Tsokol ustida</t>
  </si>
  <si>
    <t>Yuz</t>
  </si>
  <si>
    <t>Pastki old planka</t>
  </si>
  <si>
    <t>Ichki to'siq (stoyka)</t>
  </si>
  <si>
    <t>Bo'limlarni ajratadi</t>
  </si>
  <si>
    <t>Antresol polkasi</t>
  </si>
  <si>
    <t>Har bo'lim tepasida 1 tadan; bo'lim enidan 2 mm kam</t>
  </si>
  <si>
    <t>Ichki polka</t>
  </si>
  <si>
    <t>Polkali bo'limda; bo'lim enidan 2 mm kam</t>
  </si>
  <si>
    <t>Eshik</t>
  </si>
  <si>
    <t>Oddiy ochiladigan; 4 tomoni 2mm</t>
  </si>
  <si>
    <t>Eshik oynasi</t>
  </si>
  <si>
    <t>Oyna 4mm</t>
  </si>
  <si>
    <t>Eshik ustiga yopishtiriladi</t>
  </si>
  <si>
    <t>Orqa devor</t>
  </si>
  <si>
    <t>Har bo'limga alohida bo'lak</t>
  </si>
  <si>
    <t>Bosh spinka</t>
  </si>
  <si>
    <t>Faqat laminat</t>
  </si>
  <si>
    <t>Panelda kiritilgan balandlik</t>
  </si>
  <si>
    <t>Figura (bosh spinka dekori)</t>
  </si>
  <si>
    <t>Faqat panelda 'Ha' bo'lsa; egri qirra kromkasi koeffitsient bilan</t>
  </si>
  <si>
    <t>Oyoq spinka</t>
  </si>
  <si>
    <t>Yon tsarga</t>
  </si>
  <si>
    <t>Tepa qirrasi 2mm, pastki qirrasi 0.4mm</t>
  </si>
  <si>
    <t>Markaziy balka</t>
  </si>
  <si>
    <t>Ikki qavat LDSP (mustahkamlik uchun)</t>
  </si>
  <si>
    <t>Kapot (matras tagi)</t>
  </si>
  <si>
    <t>Panelda kapot turi tanlanadi; nasosli bo'lsa 4 qirrasi 2mm kromka</t>
  </si>
  <si>
    <t>Old va yon qirralari 2mm</t>
  </si>
  <si>
    <t>Old qirrasi 0.4mm</t>
  </si>
  <si>
    <t>Yashik fasadi</t>
  </si>
  <si>
    <t>4 tomoni 2mm</t>
  </si>
  <si>
    <t>Yashik yoni</t>
  </si>
  <si>
    <t>Tepa qirrasi 0.4mm</t>
  </si>
  <si>
    <t>Yashik old/orqa devori</t>
  </si>
  <si>
    <t>Yashik tagi</t>
  </si>
  <si>
    <t>3 bo'lim: eshik | yashiklar | eshik</t>
  </si>
  <si>
    <t>Polka (eshik ortida)</t>
  </si>
  <si>
    <t>O'rindiq taxtasi</t>
  </si>
  <si>
    <t>Mato bilan qoplanadi — kromka kerak emas</t>
  </si>
  <si>
    <t>Yon panel (katta)</t>
  </si>
  <si>
    <t>Mato bilan qoplanadi</t>
  </si>
  <si>
    <t>Yon panel (kichik)</t>
  </si>
  <si>
    <t>Tag</t>
  </si>
  <si>
    <t>Orqa panel (ramka)</t>
  </si>
  <si>
    <t>Oyna shu panelga yopishtiriladi</t>
  </si>
  <si>
    <t>Asos (podstavka)</t>
  </si>
  <si>
    <t>Pastdagi turadigan qismi</t>
  </si>
  <si>
    <t>Yon tayanch</t>
  </si>
  <si>
    <t>Panelni asosga ushlab turadi</t>
  </si>
  <si>
    <t>Oyna (ko'zgu)</t>
  </si>
  <si>
    <t>Buyni ko'rsatadigan</t>
  </si>
  <si>
    <t>Furnitura va boshqa materiallar — paneldagi buyurtma bo'yicha</t>
  </si>
  <si>
    <t>Miqdor = 1 dona uchun × paneldagi mahsulot soni. Nom ustunidagi matn "Laminat / Krasheniy xom ashyo" varaqlaridagi nom bilan bir xil bo'lishi kerak.</t>
  </si>
  <si>
    <t>Nomi</t>
  </si>
  <si>
    <t>Miqdor</t>
  </si>
  <si>
    <t>Hisoblash asosi</t>
  </si>
  <si>
    <t>Eshik balandligiga qarab 1 eshikka 2–5 ta</t>
  </si>
  <si>
    <t>Har eshikka 1 ta</t>
  </si>
  <si>
    <t>Polkasiz bo'limlarda</t>
  </si>
  <si>
    <t>Har shtangaga 2 ta</t>
  </si>
  <si>
    <t>Har polkaga 4 ta</t>
  </si>
  <si>
    <t>Korpus: 20; har to'siqqa 8; har antresol polkaga 4</t>
  </si>
  <si>
    <t>Konfirmat soniga teng</t>
  </si>
  <si>
    <t>Sharnirga 4 ta, shtanga derjateliga 3 ta</t>
  </si>
  <si>
    <t>2 ta oynaga 1 tuba</t>
  </si>
  <si>
    <t>Oynalar perimetri</t>
  </si>
  <si>
    <t>Spinka va tsargalarni ulash</t>
  </si>
  <si>
    <t>Markaziy balkani spinkalarga mahkamlash</t>
  </si>
  <si>
    <t>Markaziy balka ostiga (siz 3 ta qildingiz)</t>
  </si>
  <si>
    <t>Matras tagi tayanadigan brus (har tsarga bo'ylab)</t>
  </si>
  <si>
    <t>Balka qavatlari va tayanchlar</t>
  </si>
  <si>
    <t>Brusga har 25 sm da 1 ta + matras tagiga 16 + figuraga 8</t>
  </si>
  <si>
    <t>Figura chizig'i bo'ylab kesish (CNC yoki lobzik)</t>
  </si>
  <si>
    <t>Faqat nasosli kapotda; narxi DSP narxiga kirgan bo'lsa, narxni bo'sh qoldiring</t>
  </si>
  <si>
    <t>Sharikli, to'liq chiqadigan</t>
  </si>
  <si>
    <t>Har yashikka 1 ta</t>
  </si>
  <si>
    <t>Korpus: 12; har yashik qutisiga 4</t>
  </si>
  <si>
    <t>Korpus konfirmatlari soniga teng</t>
  </si>
  <si>
    <t>Har yashikka: napravlyayushiyga 12, fasadga 4</t>
  </si>
  <si>
    <t>2 ta eshik</t>
  </si>
  <si>
    <t>2 eshik + yashiklar</t>
  </si>
  <si>
    <t>2 ta polka × 4</t>
  </si>
  <si>
    <t>Korpus: 20; har yashik qutisiga 4</t>
  </si>
  <si>
    <t>Sharnirga 4; har yashikka 16</t>
  </si>
  <si>
    <t>O'rindiq ustiga</t>
  </si>
  <si>
    <t>Yon tomonlarga</t>
  </si>
  <si>
    <t>Tepa + 4 yon; har tomonga 30 mm qayirish zapasi</t>
  </si>
  <si>
    <t>Quti burchaklari</t>
  </si>
  <si>
    <t>Taxmin</t>
  </si>
  <si>
    <t>Oynani panelga yopishtirish</t>
  </si>
  <si>
    <t>Kerak bo'lmasa 0 qiling</t>
  </si>
  <si>
    <t>Asos va yon tayanchlar</t>
  </si>
  <si>
    <t>Oyna perimetri</t>
  </si>
  <si>
    <t>DVP perimetri bo'yicha har 10 sm ga 1 ta</t>
  </si>
  <si>
    <t>Panelda tanlangan o'lcham; narxi Sozlamalar → Matras narxlari</t>
  </si>
  <si>
    <t>Jami LDSP maydoni × koeffitsient (Sozlamalar)</t>
  </si>
  <si>
    <t>Har 20 m² LDSP ga 1 rulon (taxmin)</t>
  </si>
  <si>
    <t>Har 10 m² LDSP ga 1 ta (taxmin)</t>
  </si>
  <si>
    <t>Har 1 m² LDSP ga 1 ta (taxmin)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</si>
</sst>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dd\.mm\.yyyy"/>
    <numFmt numFmtId="165" formatCode="#,##0;\(#,##0\);\-"/>
    <numFmt numFmtId="166" formatCode="0%;\-0%;\-"/>
    <numFmt numFmtId="167" formatCode="0.0%"/>
    <numFmt numFmtId="168" formatCode="#,##0;\-#,##0;\-"/>
    <numFmt numFmtId="169" formatCode="#,##0.00;\-#,##0.00;\-"/>
    <numFmt numFmtId="170" formatCode="#,##0&quot; so'm&quot;;\-#,##0&quot; so'm&quot;;\-"/>
    <numFmt numFmtId="171" formatCode="\$#,##0.00;&quot;($&quot;#,##0.00\);\-"/>
    <numFmt numFmtId="172" formatCode="0.0"/>
  </numFmts>
  <fonts count="15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b/>
      <sz val="11"/>
      <color rgb="FF0000FF"/>
      <name val="Arial"/>
      <charset val="1"/>
    </font>
    <font>
      <b/>
      <sz val="10"/>
      <color rgb="FFFFFFFF"/>
      <name val="Arial"/>
      <charset val="1"/>
    </font>
    <font>
      <u/>
      <sz val="10"/>
      <color rgb="FF0563C1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2"/>
      <name val="Arial"/>
      <charset val="1"/>
    </font>
    <font>
      <sz val="10"/>
      <color rgb="FF008000"/>
      <name val="Arial"/>
      <charset val="1"/>
    </font>
    <font>
      <b/>
      <sz val="18"/>
      <color rgb="FF1F4E79"/>
      <name val="Arial"/>
      <charset val="1"/>
    </font>
    <font>
      <sz val="9"/>
      <color rgb="FF404040"/>
      <name val="Arial"/>
      <charset val="1"/>
    </font>
    <font>
      <b/>
      <sz val="13"/>
      <name val="Arial"/>
      <charset val="1"/>
    </font>
    <font>
      <sz val="10"/>
      <color rgb="FF0000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2" borderId="1" xfId="0" applyFont="1" applyFill="1" applyBorder="1" applyProtection="1">
      <protection locked="0"/>
    </xf>
    <xf numFmtId="164" fontId="4" fillId="2" borderId="1" xfId="0" applyNumberFormat="1" applyFont="1" applyFill="1" applyBorder="1" applyProtection="1">
      <protection locked="0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/>
    <xf numFmtId="165" fontId="7" fillId="0" borderId="1" xfId="0" applyNumberFormat="1" applyFont="1" applyBorder="1"/>
    <xf numFmtId="165" fontId="3" fillId="0" borderId="1" xfId="0" applyNumberFormat="1" applyFont="1" applyBorder="1"/>
    <xf numFmtId="0" fontId="8" fillId="0" borderId="1" xfId="0" applyFont="1" applyBorder="1"/>
    <xf numFmtId="0" fontId="9" fillId="4" borderId="1" xfId="0" applyFont="1" applyFill="1" applyBorder="1"/>
    <xf numFmtId="0" fontId="7" fillId="4" borderId="1" xfId="0" applyFont="1" applyFill="1" applyBorder="1"/>
    <xf numFmtId="165" fontId="9" fillId="4" borderId="1" xfId="0" applyNumberFormat="1" applyFont="1" applyFill="1" applyBorder="1"/>
    <xf numFmtId="166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/>
    <xf numFmtId="0" fontId="9" fillId="0" borderId="0" xfId="0" applyFont="1"/>
    <xf numFmtId="0" fontId="3" fillId="0" borderId="1" xfId="0" applyFont="1" applyBorder="1" applyAlignment="1">
      <alignment vertical="center" wrapText="1"/>
    </xf>
    <xf numFmtId="165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67" fontId="7" fillId="0" borderId="1" xfId="0" applyNumberFormat="1" applyFont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0" fontId="5" fillId="3" borderId="1" xfId="0" applyFont="1" applyFill="1" applyBorder="1"/>
    <xf numFmtId="0" fontId="3" fillId="5" borderId="1" xfId="0" applyFont="1" applyFill="1" applyBorder="1"/>
    <xf numFmtId="0" fontId="7" fillId="0" borderId="1" xfId="0" applyFont="1" applyBorder="1"/>
    <xf numFmtId="168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7" fillId="0" borderId="1" xfId="0" applyFont="1" applyBorder="1" applyAlignment="1">
      <alignment vertical="center" wrapText="1"/>
    </xf>
    <xf numFmtId="165" fontId="10" fillId="0" borderId="0" xfId="0" applyNumberFormat="1" applyFont="1"/>
    <xf numFmtId="2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4" fontId="7" fillId="0" borderId="1" xfId="0" applyNumberFormat="1" applyFont="1" applyBorder="1" applyAlignment="1">
      <alignment horizontal="center" vertical="center" wrapText="1"/>
    </xf>
    <xf numFmtId="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4" fontId="7" fillId="0" borderId="1" xfId="0" applyNumberFormat="1" applyFont="1" applyBorder="1"/>
    <xf numFmtId="0" fontId="2" fillId="0" borderId="1" xfId="0" applyFont="1" applyBorder="1" applyProtection="1">
      <protection locked="0"/>
    </xf>
    <xf numFmtId="2" fontId="3" fillId="4" borderId="1" xfId="0" applyNumberFormat="1" applyFont="1" applyFill="1" applyBorder="1" applyAlignment="1">
      <alignment horizontal="center" vertical="center" wrapText="1"/>
    </xf>
    <xf numFmtId="4" fontId="3" fillId="4" borderId="1" xfId="0" applyNumberFormat="1" applyFont="1" applyFill="1" applyBorder="1"/>
    <xf numFmtId="165" fontId="3" fillId="4" borderId="1" xfId="0" applyNumberFormat="1" applyFont="1" applyFill="1" applyBorder="1"/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68" fontId="7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169" fontId="7" fillId="0" borderId="1" xfId="0" applyNumberFormat="1" applyFont="1" applyBorder="1"/>
    <xf numFmtId="0" fontId="3" fillId="4" borderId="1" xfId="0" applyFont="1" applyFill="1" applyBorder="1"/>
    <xf numFmtId="0" fontId="7" fillId="4" borderId="1" xfId="0" applyFont="1" applyFill="1" applyBorder="1" applyAlignment="1">
      <alignment horizontal="center" vertical="center" wrapText="1"/>
    </xf>
    <xf numFmtId="168" fontId="3" fillId="0" borderId="1" xfId="0" applyNumberFormat="1" applyFont="1" applyBorder="1"/>
    <xf numFmtId="0" fontId="2" fillId="0" borderId="1" xfId="0" applyFont="1" applyBorder="1" applyAlignment="1">
      <alignment vertical="top" wrapText="1"/>
    </xf>
    <xf numFmtId="0" fontId="11" fillId="0" borderId="0" xfId="0" applyFont="1"/>
    <xf numFmtId="0" fontId="12" fillId="0" borderId="2" xfId="0" applyFont="1" applyBorder="1"/>
    <xf numFmtId="0" fontId="0" fillId="0" borderId="2" xfId="0" applyBorder="1"/>
    <xf numFmtId="0" fontId="1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165" fontId="7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5" fontId="3" fillId="0" borderId="0" xfId="0" applyNumberFormat="1" applyFont="1"/>
    <xf numFmtId="165" fontId="9" fillId="0" borderId="0" xfId="0" applyNumberFormat="1" applyFont="1"/>
    <xf numFmtId="170" fontId="9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0" fontId="14" fillId="2" borderId="1" xfId="0" applyFont="1" applyFill="1" applyBorder="1"/>
    <xf numFmtId="0" fontId="14" fillId="0" borderId="1" xfId="0" applyFont="1" applyBorder="1"/>
    <xf numFmtId="167" fontId="14" fillId="2" borderId="1" xfId="0" applyNumberFormat="1" applyFont="1" applyFill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9" fontId="10" fillId="0" borderId="1" xfId="0" applyNumberFormat="1" applyFont="1" applyBorder="1"/>
    <xf numFmtId="169" fontId="3" fillId="0" borderId="1" xfId="0" applyNumberFormat="1" applyFont="1" applyBorder="1"/>
    <xf numFmtId="166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5" fontId="14" fillId="2" borderId="1" xfId="0" applyNumberFormat="1" applyFont="1" applyFill="1" applyBorder="1"/>
    <xf numFmtId="171" fontId="7" fillId="0" borderId="1" xfId="0" applyNumberFormat="1" applyFont="1" applyBorder="1"/>
    <xf numFmtId="0" fontId="2" fillId="0" borderId="1" xfId="0" applyFont="1" applyBorder="1" applyAlignment="1">
      <alignment vertical="center" wrapText="1"/>
    </xf>
    <xf numFmtId="168" fontId="10" fillId="0" borderId="1" xfId="0" applyNumberFormat="1" applyFont="1" applyBorder="1"/>
    <xf numFmtId="0" fontId="10" fillId="0" borderId="1" xfId="0" applyFont="1" applyBorder="1"/>
    <xf numFmtId="165" fontId="10" fillId="0" borderId="1" xfId="0" applyNumberFormat="1" applyFont="1" applyBorder="1"/>
    <xf numFmtId="166" fontId="7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/>
    <xf numFmtId="168" fontId="8" fillId="0" borderId="1" xfId="0" applyNumberFormat="1" applyFont="1" applyBorder="1"/>
    <xf numFmtId="0" fontId="2" fillId="0" borderId="0" xfId="0" applyFont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2" fontId="14" fillId="2" borderId="1" xfId="0" applyNumberFormat="1" applyFont="1" applyFill="1" applyBorder="1" applyAlignment="1">
      <alignment horizontal="center" vertical="center" wrapText="1"/>
    </xf>
    <xf numFmtId="4" fontId="14" fillId="2" borderId="1" xfId="0" applyNumberFormat="1" applyFont="1" applyFill="1" applyBorder="1"/>
    <xf numFmtId="1" fontId="14" fillId="0" borderId="1" xfId="0" applyNumberFormat="1" applyFont="1" applyBorder="1"/>
    <xf numFmtId="1" fontId="7" fillId="0" borderId="1" xfId="0" applyNumberFormat="1" applyFont="1" applyBorder="1"/>
    <xf numFmtId="1" fontId="14" fillId="2" borderId="1" xfId="0" applyNumberFormat="1" applyFont="1" applyFill="1" applyBorder="1" applyAlignment="1">
      <alignment horizontal="center" vertical="center" wrapText="1"/>
    </xf>
    <xf numFmtId="9" fontId="14" fillId="2" borderId="1" xfId="0" applyNumberFormat="1" applyFont="1" applyFill="1" applyBorder="1" applyAlignment="1">
      <alignment horizontal="center" vertical="center" wrapText="1"/>
    </xf>
    <xf numFmtId="9" fontId="14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/>
    <xf numFmtId="1" fontId="7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/>
    <xf numFmtId="1" fontId="3" fillId="0" borderId="1" xfId="0" applyNumberFormat="1" applyFont="1" applyBorder="1" applyAlignment="1">
      <alignment horizontal="center" vertical="center" wrapText="1"/>
    </xf>
    <xf numFmtId="165" fontId="14" fillId="0" borderId="1" xfId="0" applyNumberFormat="1" applyFont="1" applyBorder="1"/>
    <xf numFmtId="166" fontId="14" fillId="2" borderId="1" xfId="0" applyNumberFormat="1" applyFont="1" applyFill="1" applyBorder="1"/>
    <xf numFmtId="168" fontId="14" fillId="0" borderId="1" xfId="0" applyNumberFormat="1" applyFont="1" applyBorder="1"/>
    <xf numFmtId="168" fontId="14" fillId="2" borderId="1" xfId="0" applyNumberFormat="1" applyFont="1" applyFill="1" applyBorder="1"/>
    <xf numFmtId="167" fontId="10" fillId="6" borderId="1" xfId="0" applyNumberFormat="1" applyFont="1" applyFill="1" applyBorder="1"/>
    <xf numFmtId="2" fontId="14" fillId="2" borderId="1" xfId="0" applyNumberFormat="1" applyFont="1" applyFill="1" applyBorder="1"/>
    <xf numFmtId="168" fontId="10" fillId="6" borderId="1" xfId="0" applyNumberFormat="1" applyFont="1" applyFill="1" applyBorder="1"/>
    <xf numFmtId="0" fontId="7" fillId="7" borderId="1" xfId="0" applyFont="1" applyFill="1" applyBorder="1"/>
    <xf numFmtId="0" fontId="7" fillId="7" borderId="1" xfId="0" applyFont="1" applyFill="1" applyBorder="1" applyAlignment="1">
      <alignment vertical="center" wrapText="1"/>
    </xf>
    <xf numFmtId="168" fontId="7" fillId="7" borderId="1" xfId="0" applyNumberFormat="1" applyFont="1" applyFill="1" applyBorder="1"/>
    <xf numFmtId="0" fontId="2" fillId="7" borderId="1" xfId="0" applyFont="1" applyFill="1" applyBorder="1"/>
    <xf numFmtId="1" fontId="7" fillId="7" borderId="1" xfId="0" applyNumberFormat="1" applyFont="1" applyFill="1" applyBorder="1"/>
    <xf numFmtId="168" fontId="10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172" fontId="10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169" fontId="7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b/>
      </font>
      <fill>
        <patternFill>
          <bgColor rgb="FFE2EFDA"/>
        </patternFill>
      </fill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Baraka_mebel_kalkulyator_v7.xlsx" TargetMode="External"/><Relationship Id="rId2" Type="http://schemas.openxmlformats.org/officeDocument/2006/relationships/hyperlink" Target="Baraka_mebel_kalkulyator_v7.xlsx" TargetMode="External"/><Relationship Id="rId1" Type="http://schemas.openxmlformats.org/officeDocument/2006/relationships/hyperlink" Target="Baraka_mebel_kalkulyator_v7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"/>
  <sheetViews>
    <sheetView zoomScale="90" zoomScaleNormal="9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34" customWidth="1"/>
    <col min="2" max="2" width="30" customWidth="1"/>
    <col min="3" max="3" width="16" customWidth="1"/>
    <col min="4" max="4" width="18" customWidth="1"/>
    <col min="5" max="5" width="20" customWidth="1"/>
    <col min="6" max="6" width="18" customWidth="1"/>
    <col min="7" max="7" width="23.42578125" bestFit="1" customWidth="1"/>
  </cols>
  <sheetData>
    <row r="1" spans="1:7" ht="18" x14ac:dyDescent="0.25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  <c r="B4" s="4"/>
    </row>
    <row r="5" spans="1:7" x14ac:dyDescent="0.25">
      <c r="A5" s="3" t="s">
        <v>3</v>
      </c>
      <c r="B5" s="4"/>
    </row>
    <row r="6" spans="1:7" x14ac:dyDescent="0.25">
      <c r="A6" s="3" t="s">
        <v>4</v>
      </c>
      <c r="B6" s="5">
        <f ca="1">TODAY()</f>
        <v>46314</v>
      </c>
      <c r="C6" s="2" t="s">
        <v>5</v>
      </c>
    </row>
    <row r="7" spans="1:7" x14ac:dyDescent="0.25">
      <c r="A7" s="3" t="s">
        <v>6</v>
      </c>
      <c r="B7" s="4"/>
    </row>
    <row r="8" spans="1:7" x14ac:dyDescent="0.25">
      <c r="A8" s="3" t="s">
        <v>7</v>
      </c>
      <c r="B8" s="4"/>
    </row>
    <row r="10" spans="1:7" ht="36" customHeight="1" x14ac:dyDescent="0.25">
      <c r="A10" s="6" t="s">
        <v>8</v>
      </c>
      <c r="B10" s="6" t="s">
        <v>9</v>
      </c>
      <c r="C10" s="6" t="s">
        <v>10</v>
      </c>
      <c r="D10" s="6" t="s">
        <v>11</v>
      </c>
      <c r="E10" s="6" t="s">
        <v>12</v>
      </c>
      <c r="F10" s="6" t="s">
        <v>13</v>
      </c>
      <c r="G10" s="6" t="s">
        <v>14</v>
      </c>
    </row>
    <row r="11" spans="1:7" x14ac:dyDescent="0.25">
      <c r="A11" s="3" t="s">
        <v>15</v>
      </c>
      <c r="B11" s="7" t="s">
        <v>16</v>
      </c>
      <c r="C11" s="8" t="s">
        <v>17</v>
      </c>
      <c r="D11" s="9">
        <f>IF(p_m_spalniy="Ha",sp_tan,0)</f>
        <v>9655516.4751240537</v>
      </c>
      <c r="E11" s="10">
        <f>IF(p_m_spalniy="Ha",sp_sotuv,0)</f>
        <v>9660000</v>
      </c>
      <c r="F11" s="9">
        <f>E11-D11</f>
        <v>4483.5248759463429</v>
      </c>
      <c r="G11" s="11" t="str">
        <f>IF(p_m_spalniy="Ha",IF(OR(Tannarx!B31&gt;0,AND(Tannarx!B32&gt;0,Tannarx!B33=1),usta_foiz=0,savdo_ustama=0),"Spalniy varag'ini ko'ring",""),"")</f>
        <v>Spalniy varag'ini ko'ring</v>
      </c>
    </row>
    <row r="12" spans="1:7" x14ac:dyDescent="0.25">
      <c r="A12" s="3" t="s">
        <v>18</v>
      </c>
      <c r="B12" s="7" t="s">
        <v>19</v>
      </c>
      <c r="C12" s="8" t="s">
        <v>20</v>
      </c>
      <c r="D12" s="9">
        <f>IF(p_m_oshxona="Ha",osh_tan,0)</f>
        <v>0</v>
      </c>
      <c r="E12" s="10">
        <f>IF(p_m_oshxona="Ha",osh_sotuv,0)</f>
        <v>0</v>
      </c>
      <c r="F12" s="9">
        <f>E12-D12</f>
        <v>0</v>
      </c>
      <c r="G12" s="11" t="str">
        <f>IF(p_m_oshxona="Ha",IF(OR(COUNTIF(Oshxona!G5:G10,"")-COUNTIF(Oshxona!B5:B10,"")&gt;0,AND(LEFT(oshxona_narx_turi,3)="Tan",ustama_oshxona=0)),"Oshxona varag'ini ko'ring",""),"")</f>
        <v/>
      </c>
    </row>
    <row r="13" spans="1:7" x14ac:dyDescent="0.25">
      <c r="A13" s="3" t="s">
        <v>21</v>
      </c>
      <c r="B13" s="7" t="s">
        <v>19</v>
      </c>
      <c r="C13" s="8" t="s">
        <v>22</v>
      </c>
      <c r="D13" s="9">
        <f>IF(p_m_korpus="Ha",kor_tan,0)</f>
        <v>0</v>
      </c>
      <c r="E13" s="10">
        <f>IF(p_m_korpus="Ha",kor_sotuv,0)</f>
        <v>0</v>
      </c>
      <c r="F13" s="9">
        <f>E13-D13</f>
        <v>0</v>
      </c>
      <c r="G13" s="11" t="str">
        <f>IF(p_m_korpus="Ha",IF(OR(kor_miss&gt;0,usta_foiz_k=0,ustama_korpus=0),"Korpus mebel varag'ini ko'ring",""),"")</f>
        <v/>
      </c>
    </row>
    <row r="14" spans="1:7" ht="15.75" x14ac:dyDescent="0.25">
      <c r="A14" s="12" t="s">
        <v>23</v>
      </c>
      <c r="B14" s="13"/>
      <c r="C14" s="13"/>
      <c r="D14" s="14">
        <f>SUM(D11:D13)</f>
        <v>9655516.4751240537</v>
      </c>
      <c r="E14" s="14">
        <f>SUM(E11:E13)</f>
        <v>9660000</v>
      </c>
      <c r="F14" s="14">
        <f>SUM(F11:F13)</f>
        <v>4483.5248759463429</v>
      </c>
      <c r="G14" s="13"/>
    </row>
    <row r="16" spans="1:7" x14ac:dyDescent="0.25">
      <c r="A16" s="3" t="s">
        <v>24</v>
      </c>
      <c r="B16" s="15">
        <v>0</v>
      </c>
      <c r="C16" s="16" t="s">
        <v>25</v>
      </c>
      <c r="D16" s="10">
        <f>ROUND(jami_sotuv*N(p_chegirma)/yaxlit,0)*yaxlit</f>
        <v>0</v>
      </c>
    </row>
    <row r="17" spans="1:7" ht="15.75" x14ac:dyDescent="0.25">
      <c r="A17" s="12" t="s">
        <v>26</v>
      </c>
      <c r="B17" s="14">
        <f>jami_sotuv-chegirma_summa</f>
        <v>9660000</v>
      </c>
    </row>
    <row r="19" spans="1:7" ht="15.75" x14ac:dyDescent="0.25">
      <c r="A19" s="17" t="s">
        <v>27</v>
      </c>
    </row>
    <row r="20" spans="1:7" x14ac:dyDescent="0.25">
      <c r="A20" s="18" t="s">
        <v>28</v>
      </c>
      <c r="B20" s="7" t="s">
        <v>29</v>
      </c>
      <c r="C20" s="2" t="str">
        <f>IF(tanlangan_oy=0,"Naqd savdo","Oylik ustama: "&amp;TEXT(tanlangan_stavka,"0.0%")&amp;" × "&amp;tanlangan_oy&amp;" oy")</f>
        <v>Naqd savdo</v>
      </c>
    </row>
    <row r="21" spans="1:7" x14ac:dyDescent="0.25">
      <c r="A21" s="18" t="s">
        <v>30</v>
      </c>
      <c r="B21" s="15">
        <v>0</v>
      </c>
      <c r="C21" s="2" t="e">
        <f>"Oldindan to'lov: "&amp;TEXT(old_tolov,"#,##0")&amp;" so'm ("&amp;TEXT(old_ulush,"0.0%")&amp;")"</f>
        <v>#VALUE!</v>
      </c>
    </row>
    <row r="22" spans="1:7" ht="27.75" customHeight="1" x14ac:dyDescent="0.25">
      <c r="A22" s="18" t="s">
        <v>31</v>
      </c>
      <c r="B22" s="19"/>
    </row>
    <row r="24" spans="1:7" ht="36" customHeight="1" x14ac:dyDescent="0.25">
      <c r="A24" s="6" t="s">
        <v>28</v>
      </c>
      <c r="B24" s="6" t="s">
        <v>32</v>
      </c>
      <c r="C24" s="6" t="s">
        <v>33</v>
      </c>
      <c r="D24" s="6" t="s">
        <v>34</v>
      </c>
      <c r="E24" s="6" t="s">
        <v>35</v>
      </c>
      <c r="F24" s="6" t="s">
        <v>36</v>
      </c>
      <c r="G24" s="6" t="s">
        <v>37</v>
      </c>
    </row>
    <row r="25" spans="1:7" x14ac:dyDescent="0.25">
      <c r="A25" s="3" t="str">
        <f>Tariflar!A38</f>
        <v>Naqd</v>
      </c>
      <c r="B25" s="20">
        <f>Tariflar!C38</f>
        <v>0</v>
      </c>
      <c r="C25" s="21">
        <f>Tariflar!B38</f>
        <v>0</v>
      </c>
      <c r="D25" s="9">
        <f>Tariflar!E38</f>
        <v>0</v>
      </c>
      <c r="E25" s="9">
        <f>Tariflar!D38</f>
        <v>0</v>
      </c>
      <c r="F25" s="9">
        <f>Tariflar!G38</f>
        <v>0</v>
      </c>
      <c r="G25" s="10">
        <f>Tariflar!F38</f>
        <v>9660000</v>
      </c>
    </row>
    <row r="26" spans="1:7" x14ac:dyDescent="0.25">
      <c r="A26" s="3" t="str">
        <f>Tariflar!A39</f>
        <v>3 oy</v>
      </c>
      <c r="B26" s="20">
        <f>Tariflar!C39</f>
        <v>0.05</v>
      </c>
      <c r="C26" s="21">
        <f>Tariflar!B39</f>
        <v>3</v>
      </c>
      <c r="D26" s="9">
        <f>Tariflar!E39</f>
        <v>3703000</v>
      </c>
      <c r="E26" s="9">
        <f>Tariflar!D39</f>
        <v>1449000</v>
      </c>
      <c r="F26" s="9">
        <f>Tariflar!G39</f>
        <v>1449000</v>
      </c>
      <c r="G26" s="10">
        <f>Tariflar!F39</f>
        <v>11109000</v>
      </c>
    </row>
    <row r="27" spans="1:7" x14ac:dyDescent="0.25">
      <c r="A27" s="3" t="str">
        <f>Tariflar!A40</f>
        <v>6 oy</v>
      </c>
      <c r="B27" s="20">
        <f>Tariflar!C40</f>
        <v>0.04</v>
      </c>
      <c r="C27" s="21">
        <f>Tariflar!B40</f>
        <v>6</v>
      </c>
      <c r="D27" s="9">
        <f>Tariflar!E40</f>
        <v>1997000</v>
      </c>
      <c r="E27" s="9">
        <f>Tariflar!D40</f>
        <v>2318400</v>
      </c>
      <c r="F27" s="9">
        <f>Tariflar!G40</f>
        <v>2322000</v>
      </c>
      <c r="G27" s="10">
        <f>Tariflar!F40</f>
        <v>11982000</v>
      </c>
    </row>
    <row r="28" spans="1:7" x14ac:dyDescent="0.25">
      <c r="A28" s="3" t="str">
        <f>Tariflar!A41</f>
        <v>12 oy</v>
      </c>
      <c r="B28" s="20">
        <f>Tariflar!C41</f>
        <v>3.5000000000000003E-2</v>
      </c>
      <c r="C28" s="21">
        <f>Tariflar!B41</f>
        <v>12</v>
      </c>
      <c r="D28" s="9">
        <f>Tariflar!E41</f>
        <v>1144000</v>
      </c>
      <c r="E28" s="9">
        <f>Tariflar!D41</f>
        <v>4057200.0000000009</v>
      </c>
      <c r="F28" s="9">
        <f>Tariflar!G41</f>
        <v>4068000</v>
      </c>
      <c r="G28" s="10">
        <f>Tariflar!F41</f>
        <v>13728000</v>
      </c>
    </row>
    <row r="29" spans="1:7" x14ac:dyDescent="0.25">
      <c r="A29" s="3" t="str">
        <f>Tariflar!A42</f>
        <v>18 oy</v>
      </c>
      <c r="B29" s="20">
        <f>Tariflar!C42</f>
        <v>3.3000000000000002E-2</v>
      </c>
      <c r="C29" s="21">
        <f>Tariflar!B42</f>
        <v>18</v>
      </c>
      <c r="D29" s="9">
        <f>Tariflar!E42</f>
        <v>856000</v>
      </c>
      <c r="E29" s="9">
        <f>Tariflar!D42</f>
        <v>5738040</v>
      </c>
      <c r="F29" s="9">
        <f>Tariflar!G42</f>
        <v>5748000</v>
      </c>
      <c r="G29" s="10">
        <f>Tariflar!F42</f>
        <v>15408000</v>
      </c>
    </row>
    <row r="31" spans="1:7" x14ac:dyDescent="0.25">
      <c r="A31" s="22" t="str">
        <f>IF(royxat_soni&gt;16,"Diqqat: mijoz varag'iga "&amp;royxat_soni&amp;" qator to'g'ri keladi, faqat 16 tasi sig'adi","")</f>
        <v/>
      </c>
    </row>
    <row r="32" spans="1:7" x14ac:dyDescent="0.25">
      <c r="A32" s="22" t="str">
        <f>IF(jami_sotuv=0,"Buyurtmada hali mahsulot yo'q: bo'limni ""Ha"" qiling va o'lchamlarni kiriting","")</f>
        <v/>
      </c>
    </row>
    <row r="33" spans="1:1" x14ac:dyDescent="0.25">
      <c r="A33" s="2" t="s">
        <v>38</v>
      </c>
    </row>
  </sheetData>
  <sheetProtection sheet="1" formatCells="0" formatColumns="0" formatRows="0"/>
  <conditionalFormatting sqref="A25:G29">
    <cfRule type="expression" dxfId="2" priority="2">
      <formula>$A25=tanlangan_label</formula>
    </cfRule>
  </conditionalFormatting>
  <dataValidations count="5">
    <dataValidation type="list" sqref="B11:B13">
      <formula1>"Ha,Yo'q"</formula1>
      <formula2>0</formula2>
    </dataValidation>
    <dataValidation type="decimal" showErrorMessage="1" errorTitle="Noto'g'ri qiymat" error="0% dan 100% gacha kiriting" sqref="B16">
      <formula1>0</formula1>
      <formula2>1</formula2>
    </dataValidation>
    <dataValidation type="list" showErrorMessage="1" errorTitle="Noto'g'ri qiymat" error="Ro'yxatdan tanlang" sqref="B20">
      <formula1>tolov_turlari</formula1>
      <formula2>0</formula2>
    </dataValidation>
    <dataValidation type="decimal" showErrorMessage="1" errorTitle="Noto'g'ri qiymat" error="0% dan 100% gacha kiriting (masalan: 20%)" sqref="B21">
      <formula1>0</formula1>
      <formula2>1</formula2>
    </dataValidation>
    <dataValidation type="decimal" operator="greaterThanOrEqual" allowBlank="1" showErrorMessage="1" errorTitle="Noto'g'ri qiymat" error="Musbat summa kiriting" sqref="B22">
      <formula1>0</formula1>
      <formula2>0</formula2>
    </dataValidation>
  </dataValidations>
  <hyperlinks>
    <hyperlink ref="C11" r:id="rId1" location="'Spalniy'!A1"/>
    <hyperlink ref="C12" r:id="rId2" location="'Oshxona'!A1"/>
    <hyperlink ref="C13" r:id="rId3" location="'Korpus%20mebel'!A1"/>
  </hyperlinks>
  <pageMargins left="0.75" right="0.75" top="1" bottom="1" header="0.511811023622047" footer="0.511811023622047"/>
  <pageSetup paperSize="9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Views>
    <sheetView zoomScale="90" zoomScaleNormal="9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44" customWidth="1"/>
    <col min="3" max="3" width="13" customWidth="1"/>
    <col min="4" max="4" width="16" customWidth="1"/>
    <col min="5" max="6" width="17" customWidth="1"/>
    <col min="7" max="7" width="19" customWidth="1"/>
  </cols>
  <sheetData>
    <row r="1" spans="1:7" ht="18" x14ac:dyDescent="0.25">
      <c r="A1" s="1" t="s">
        <v>39</v>
      </c>
    </row>
    <row r="2" spans="1:7" x14ac:dyDescent="0.25">
      <c r="A2" s="2" t="s">
        <v>40</v>
      </c>
    </row>
    <row r="4" spans="1:7" ht="36" customHeight="1" x14ac:dyDescent="0.25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23"/>
      <c r="G4" s="23"/>
    </row>
    <row r="5" spans="1:7" x14ac:dyDescent="0.25">
      <c r="A5" s="24" t="s">
        <v>46</v>
      </c>
      <c r="B5" s="25" t="s">
        <v>47</v>
      </c>
      <c r="C5" s="26">
        <v>1</v>
      </c>
      <c r="D5" s="27" t="s">
        <v>48</v>
      </c>
      <c r="E5" s="28"/>
      <c r="F5" s="28"/>
      <c r="G5" s="28"/>
    </row>
    <row r="6" spans="1:7" x14ac:dyDescent="0.25">
      <c r="A6" s="24" t="s">
        <v>46</v>
      </c>
      <c r="B6" s="25" t="s">
        <v>49</v>
      </c>
      <c r="C6" s="26">
        <v>220</v>
      </c>
      <c r="D6" s="27" t="s">
        <v>50</v>
      </c>
      <c r="E6" s="28"/>
      <c r="F6" s="28"/>
      <c r="G6" s="28"/>
    </row>
    <row r="7" spans="1:7" x14ac:dyDescent="0.25">
      <c r="A7" s="24" t="s">
        <v>46</v>
      </c>
      <c r="B7" s="25" t="s">
        <v>51</v>
      </c>
      <c r="C7" s="26">
        <v>60</v>
      </c>
      <c r="D7" s="27" t="s">
        <v>50</v>
      </c>
      <c r="E7" s="28"/>
      <c r="F7" s="28"/>
      <c r="G7" s="28"/>
    </row>
    <row r="8" spans="1:7" x14ac:dyDescent="0.25">
      <c r="A8" s="24" t="s">
        <v>46</v>
      </c>
      <c r="B8" s="25" t="s">
        <v>52</v>
      </c>
      <c r="C8" s="26">
        <v>240</v>
      </c>
      <c r="D8" s="27" t="s">
        <v>50</v>
      </c>
      <c r="E8" s="28" t="str">
        <f>IF(shkaf_qop_n&gt;1,"Qopqoq "&amp;shkaf_qop_n&amp;" bo'lakdan bo'ladi","")</f>
        <v/>
      </c>
      <c r="F8" s="28"/>
      <c r="G8" s="28"/>
    </row>
    <row r="9" spans="1:7" x14ac:dyDescent="0.25">
      <c r="A9" s="24" t="s">
        <v>46</v>
      </c>
      <c r="B9" s="25" t="s">
        <v>53</v>
      </c>
      <c r="C9" s="26">
        <v>6</v>
      </c>
      <c r="D9" s="27" t="s">
        <v>48</v>
      </c>
      <c r="E9" s="28" t="str">
        <f>"1 eshik eni: "&amp;ROUND(shkaf_eshikW/10,1)&amp;" sm"</f>
        <v>1 eshik eni: 39,7 sm</v>
      </c>
      <c r="F9" s="28"/>
      <c r="G9" s="28"/>
    </row>
    <row r="10" spans="1:7" x14ac:dyDescent="0.25">
      <c r="A10" s="24" t="s">
        <v>46</v>
      </c>
      <c r="B10" s="25" t="s">
        <v>54</v>
      </c>
      <c r="C10" s="26">
        <v>2</v>
      </c>
      <c r="D10" s="27" t="s">
        <v>48</v>
      </c>
      <c r="E10" s="11" t="str">
        <f>IF(shkaf_oyna_soni&gt;shkaf_eshik,"Diqqat: oynalar eshiklardan ko'p",IF(AND(shkaf_oyna_soni&gt;0,shkaf_oyna_W&gt;shkaf_eshikW),"Diqqat: oyna eni ("&amp;shkaf_oyna_W/10&amp;" sm) eshikdan keng — Sozlamalarda tekshiring","Oyna: "&amp;shkaf_oyna_H/10&amp;"×"&amp;shkaf_oyna_W/10&amp;" sm"))</f>
        <v>Diqqat: oyna eni (50 sm) eshikdan keng — Sozlamalarda tekshiring</v>
      </c>
      <c r="F10" s="28"/>
      <c r="G10" s="28"/>
    </row>
    <row r="11" spans="1:7" x14ac:dyDescent="0.25">
      <c r="A11" s="24" t="s">
        <v>46</v>
      </c>
      <c r="B11" s="25" t="s">
        <v>55</v>
      </c>
      <c r="C11" s="7" t="s">
        <v>56</v>
      </c>
      <c r="D11" s="27"/>
      <c r="E11" s="28"/>
      <c r="F11" s="28"/>
      <c r="G11" s="28"/>
    </row>
    <row r="12" spans="1:7" x14ac:dyDescent="0.25">
      <c r="A12" s="24" t="s">
        <v>46</v>
      </c>
      <c r="B12" s="25" t="s">
        <v>57</v>
      </c>
      <c r="C12" s="7" t="s">
        <v>56</v>
      </c>
      <c r="D12" s="27"/>
      <c r="E12" s="28" t="str">
        <f>IF(shkaf_kra=1,"Bo'yaladigan yuza: "&amp;ROUND(SUMIFS(Detallar!$Q$5:$Q$300,Detallar!$B$5:$B$300,"Shkaf",Detallar!$E$5:$E$300,"Yuz")*shkaf_kyuz+SUMIFS(Detallar!$Q$5:$Q$300,Detallar!$B$5:$B$300,"Shkaf",Detallar!$E$5:$E$300,"Yon")*shkaf_kyon,2)&amp;" m²","")</f>
        <v/>
      </c>
      <c r="F12" s="28"/>
      <c r="G12" s="28"/>
    </row>
    <row r="13" spans="1:7" x14ac:dyDescent="0.25">
      <c r="A13" s="24" t="s">
        <v>58</v>
      </c>
      <c r="B13" s="25" t="s">
        <v>59</v>
      </c>
      <c r="C13" s="26">
        <v>1</v>
      </c>
      <c r="D13" s="27" t="s">
        <v>48</v>
      </c>
      <c r="E13" s="28"/>
      <c r="F13" s="28"/>
      <c r="G13" s="28"/>
    </row>
    <row r="14" spans="1:7" x14ac:dyDescent="0.25">
      <c r="A14" s="24" t="s">
        <v>58</v>
      </c>
      <c r="B14" s="25" t="s">
        <v>60</v>
      </c>
      <c r="C14" s="26">
        <v>220</v>
      </c>
      <c r="D14" s="27" t="s">
        <v>50</v>
      </c>
      <c r="E14" s="28"/>
      <c r="F14" s="28"/>
      <c r="G14" s="28"/>
    </row>
    <row r="15" spans="1:7" x14ac:dyDescent="0.25">
      <c r="A15" s="24" t="s">
        <v>58</v>
      </c>
      <c r="B15" s="25" t="s">
        <v>61</v>
      </c>
      <c r="C15" s="26">
        <v>170</v>
      </c>
      <c r="D15" s="27" t="s">
        <v>50</v>
      </c>
      <c r="E15" s="28"/>
      <c r="F15" s="28"/>
      <c r="G15" s="28"/>
    </row>
    <row r="16" spans="1:7" x14ac:dyDescent="0.25">
      <c r="A16" s="24" t="s">
        <v>58</v>
      </c>
      <c r="B16" s="25" t="s">
        <v>62</v>
      </c>
      <c r="C16" s="26">
        <v>45</v>
      </c>
      <c r="D16" s="27" t="s">
        <v>50</v>
      </c>
      <c r="E16" s="28"/>
      <c r="F16" s="28"/>
      <c r="G16" s="28"/>
    </row>
    <row r="17" spans="1:7" x14ac:dyDescent="0.25">
      <c r="A17" s="24" t="s">
        <v>58</v>
      </c>
      <c r="B17" s="25" t="s">
        <v>63</v>
      </c>
      <c r="C17" s="26">
        <v>150</v>
      </c>
      <c r="D17" s="27" t="s">
        <v>50</v>
      </c>
      <c r="E17" s="28"/>
      <c r="F17" s="28"/>
      <c r="G17" s="28"/>
    </row>
    <row r="18" spans="1:7" x14ac:dyDescent="0.25">
      <c r="A18" s="24" t="s">
        <v>58</v>
      </c>
      <c r="B18" s="25" t="s">
        <v>64</v>
      </c>
      <c r="C18" s="7" t="s">
        <v>16</v>
      </c>
      <c r="D18" s="27"/>
      <c r="E18" s="28" t="str">
        <f>IF(krovat_fig=1,"Figura: "&amp;figura_W/10&amp;"×"&amp;figura_H/10&amp;" sm (Sozlamalarda)","")</f>
        <v>Figura: 160×60 sm (Sozlamalarda)</v>
      </c>
      <c r="F18" s="28"/>
      <c r="G18" s="28"/>
    </row>
    <row r="19" spans="1:7" x14ac:dyDescent="0.25">
      <c r="A19" s="24" t="s">
        <v>58</v>
      </c>
      <c r="B19" s="25" t="s">
        <v>65</v>
      </c>
      <c r="C19" s="7" t="s">
        <v>66</v>
      </c>
      <c r="D19" s="27"/>
      <c r="E19" s="28" t="str">
        <f>IF(krovat_nasos=1,"Nasosli: DSP qirralari 2mm kromka + ko'tarish mexanizmi","Oddiy kapot (kromkasiz)")</f>
        <v>Oddiy kapot (kromkasiz)</v>
      </c>
      <c r="F19" s="28"/>
      <c r="G19" s="28"/>
    </row>
    <row r="20" spans="1:7" x14ac:dyDescent="0.25">
      <c r="A20" s="24" t="s">
        <v>58</v>
      </c>
      <c r="B20" s="25" t="s">
        <v>67</v>
      </c>
      <c r="C20" s="7" t="s">
        <v>68</v>
      </c>
      <c r="D20" s="27"/>
      <c r="E20" s="11" t="str">
        <f>IF(AND(p_matras&lt;&gt;"Yo'q",IFERROR(VALUE(LEFT(p_matras,3))*10,0)&gt;krovat_ichW),"Diqqat: matras krovatga sig'maydi! Krovat ichi: ","Krovat ichi: ")&amp;ROUND(krovat_ichW/10,1)&amp;"×"&amp;ROUND(krovat_ichL/10,1)&amp;" sm"</f>
        <v>Diqqat: matras krovatga sig'maydi! Krovat ichi: 166,8×216,8 sm</v>
      </c>
      <c r="F20" s="28"/>
      <c r="G20" s="28"/>
    </row>
    <row r="21" spans="1:7" x14ac:dyDescent="0.25">
      <c r="A21" s="24" t="s">
        <v>69</v>
      </c>
      <c r="B21" s="25" t="s">
        <v>70</v>
      </c>
      <c r="C21" s="26">
        <v>1</v>
      </c>
      <c r="D21" s="27" t="s">
        <v>48</v>
      </c>
      <c r="E21" s="28"/>
      <c r="F21" s="28"/>
      <c r="G21" s="28"/>
    </row>
    <row r="22" spans="1:7" x14ac:dyDescent="0.25">
      <c r="A22" s="24" t="s">
        <v>69</v>
      </c>
      <c r="B22" s="25" t="s">
        <v>52</v>
      </c>
      <c r="C22" s="26">
        <v>160</v>
      </c>
      <c r="D22" s="27" t="s">
        <v>50</v>
      </c>
      <c r="E22" s="28"/>
      <c r="F22" s="28"/>
      <c r="G22" s="28"/>
    </row>
    <row r="23" spans="1:7" x14ac:dyDescent="0.25">
      <c r="A23" s="24" t="s">
        <v>69</v>
      </c>
      <c r="B23" s="25" t="s">
        <v>51</v>
      </c>
      <c r="C23" s="26">
        <v>45</v>
      </c>
      <c r="D23" s="27" t="s">
        <v>50</v>
      </c>
      <c r="E23" s="28"/>
      <c r="F23" s="28"/>
      <c r="G23" s="28"/>
    </row>
    <row r="24" spans="1:7" x14ac:dyDescent="0.25">
      <c r="A24" s="24" t="s">
        <v>69</v>
      </c>
      <c r="B24" s="25" t="s">
        <v>71</v>
      </c>
      <c r="C24" s="26">
        <v>83</v>
      </c>
      <c r="D24" s="27" t="s">
        <v>50</v>
      </c>
      <c r="E24" s="28"/>
      <c r="F24" s="28"/>
      <c r="G24" s="28"/>
    </row>
    <row r="25" spans="1:7" x14ac:dyDescent="0.25">
      <c r="A25" s="24" t="s">
        <v>69</v>
      </c>
      <c r="B25" s="25" t="s">
        <v>72</v>
      </c>
      <c r="C25" s="7" t="s">
        <v>56</v>
      </c>
      <c r="D25" s="27"/>
      <c r="E25" s="28"/>
      <c r="F25" s="28"/>
      <c r="G25" s="28"/>
    </row>
    <row r="26" spans="1:7" x14ac:dyDescent="0.25">
      <c r="A26" s="24" t="s">
        <v>69</v>
      </c>
      <c r="B26" s="25" t="s">
        <v>73</v>
      </c>
      <c r="C26" s="7" t="s">
        <v>56</v>
      </c>
      <c r="D26" s="27"/>
      <c r="E26" s="28" t="str">
        <f>IF(trimo_kra=1,"Bo'yaladigan yuza: "&amp;ROUND(SUMIFS(Detallar!$Q$5:$Q$300,Detallar!$B$5:$B$300,"Trimo",Detallar!$E$5:$E$300,"Yuz")*trimo_kyuz+SUMIFS(Detallar!$Q$5:$Q$300,Detallar!$B$5:$B$300,"Trimo",Detallar!$E$5:$E$300,"Yon")*trimo_kyon,2)&amp;" m²","")</f>
        <v/>
      </c>
      <c r="F26" s="28"/>
      <c r="G26" s="28"/>
    </row>
    <row r="27" spans="1:7" x14ac:dyDescent="0.25">
      <c r="A27" s="24" t="s">
        <v>74</v>
      </c>
      <c r="B27" s="25" t="s">
        <v>75</v>
      </c>
      <c r="C27" s="26">
        <v>1</v>
      </c>
      <c r="D27" s="27" t="s">
        <v>48</v>
      </c>
      <c r="E27" s="28" t="str">
        <f>"O'lcham: "&amp;tumba_W/10&amp;"×"&amp;tumba_D/10&amp;"×"&amp;tumba_H/10&amp;" sm"</f>
        <v>O'lcham: 50×40×60 sm</v>
      </c>
      <c r="F27" s="28"/>
      <c r="G27" s="28"/>
    </row>
    <row r="28" spans="1:7" x14ac:dyDescent="0.25">
      <c r="A28" s="24" t="s">
        <v>74</v>
      </c>
      <c r="B28" s="25" t="s">
        <v>76</v>
      </c>
      <c r="C28" s="7" t="s">
        <v>56</v>
      </c>
      <c r="D28" s="27"/>
      <c r="E28" s="28"/>
      <c r="F28" s="28"/>
      <c r="G28" s="28"/>
    </row>
    <row r="29" spans="1:7" x14ac:dyDescent="0.25">
      <c r="A29" s="24" t="s">
        <v>74</v>
      </c>
      <c r="B29" s="25" t="s">
        <v>73</v>
      </c>
      <c r="C29" s="7" t="s">
        <v>56</v>
      </c>
      <c r="D29" s="27"/>
      <c r="E29" s="28" t="str">
        <f>IF(tumba_kra=1,"Bo'yaladigan yuza: "&amp;ROUND(SUMIFS(Detallar!$Q$5:$Q$300,Detallar!$B$5:$B$300,"Tumbochka",Detallar!$E$5:$E$300,"Yuz")*tumba_kyuz+SUMIFS(Detallar!$Q$5:$Q$300,Detallar!$B$5:$B$300,"Tumbochka",Detallar!$E$5:$E$300,"Yon")*tumba_kyon,2)&amp;" m²","")</f>
        <v/>
      </c>
      <c r="F29" s="28"/>
      <c r="G29" s="28"/>
    </row>
    <row r="30" spans="1:7" x14ac:dyDescent="0.25">
      <c r="A30" s="24" t="s">
        <v>77</v>
      </c>
      <c r="B30" s="25" t="s">
        <v>78</v>
      </c>
      <c r="C30" s="26">
        <v>1</v>
      </c>
      <c r="D30" s="27" t="s">
        <v>48</v>
      </c>
      <c r="E30" s="28" t="str">
        <f>"O'lcham: "&amp;chest_W/10&amp;"×"&amp;chest_D/10&amp;"×"&amp;chest_H/10&amp;" sm"</f>
        <v>O'lcham: 80×50×100 sm</v>
      </c>
      <c r="F30" s="28"/>
      <c r="G30" s="28"/>
    </row>
    <row r="31" spans="1:7" x14ac:dyDescent="0.25">
      <c r="A31" s="24" t="s">
        <v>77</v>
      </c>
      <c r="B31" s="25" t="s">
        <v>76</v>
      </c>
      <c r="C31" s="7" t="s">
        <v>56</v>
      </c>
      <c r="D31" s="27"/>
      <c r="E31" s="28"/>
      <c r="F31" s="28"/>
      <c r="G31" s="28"/>
    </row>
    <row r="32" spans="1:7" x14ac:dyDescent="0.25">
      <c r="A32" s="24" t="s">
        <v>77</v>
      </c>
      <c r="B32" s="25" t="s">
        <v>73</v>
      </c>
      <c r="C32" s="7" t="s">
        <v>56</v>
      </c>
      <c r="D32" s="27"/>
      <c r="E32" s="28" t="str">
        <f>IF(chest_kra=1,"Bo'yaladigan yuza: "&amp;ROUND(SUMIFS(Detallar!$Q$5:$Q$300,Detallar!$B$5:$B$300,"Chester",Detallar!$E$5:$E$300,"Yuz")*chest_kyuz+SUMIFS(Detallar!$Q$5:$Q$300,Detallar!$B$5:$B$300,"Chester",Detallar!$E$5:$E$300,"Yon")*chest_kyon,2)&amp;" m²","")</f>
        <v/>
      </c>
      <c r="F32" s="28"/>
      <c r="G32" s="28"/>
    </row>
    <row r="33" spans="1:7" x14ac:dyDescent="0.25">
      <c r="A33" s="24" t="s">
        <v>79</v>
      </c>
      <c r="B33" s="25" t="s">
        <v>80</v>
      </c>
      <c r="C33" s="26">
        <v>1</v>
      </c>
      <c r="D33" s="27" t="s">
        <v>48</v>
      </c>
      <c r="E33" s="28" t="str">
        <f>"O'lcham: "&amp;pufik_W/10&amp;"×"&amp;pufik_W/10&amp;"×"&amp;pufik_H/10&amp;" sm"</f>
        <v>O'lcham: 40×40×45 sm</v>
      </c>
      <c r="F33" s="28"/>
      <c r="G33" s="28"/>
    </row>
    <row r="34" spans="1:7" x14ac:dyDescent="0.25">
      <c r="A34" s="24" t="s">
        <v>81</v>
      </c>
      <c r="B34" s="25" t="s">
        <v>82</v>
      </c>
      <c r="C34" s="26">
        <v>1</v>
      </c>
      <c r="D34" s="27" t="s">
        <v>48</v>
      </c>
      <c r="E34" s="28" t="str">
        <f>"Oyna: "&amp;oyna_H/10&amp;"×"&amp;oyna_W/10&amp;" sm"</f>
        <v>Oyna: 160×50 sm</v>
      </c>
      <c r="F34" s="28"/>
      <c r="G34" s="28"/>
    </row>
    <row r="35" spans="1:7" x14ac:dyDescent="0.25">
      <c r="A35" s="24" t="s">
        <v>83</v>
      </c>
      <c r="B35" s="29" t="s">
        <v>84</v>
      </c>
      <c r="C35" s="7"/>
      <c r="D35" s="27"/>
      <c r="E35" s="11" t="str">
        <f>IF(p_usta="","Diqqat: usta tanlanmagan — usta haqi 0","Kelishuv: "&amp;TEXT(usta_foiz,"0.0%")&amp;" (xom ashyo summasiga)")</f>
        <v>Diqqat: usta tanlanmagan — usta haqi 0</v>
      </c>
      <c r="F35" s="28"/>
      <c r="G35" s="28"/>
    </row>
    <row r="37" spans="1:7" ht="15.75" x14ac:dyDescent="0.25">
      <c r="A37" s="17" t="s">
        <v>85</v>
      </c>
      <c r="D37" s="16" t="s">
        <v>86</v>
      </c>
      <c r="E37" s="30">
        <f>kurs_joriy</f>
        <v>11963</v>
      </c>
    </row>
    <row r="38" spans="1:7" ht="36" customHeight="1" x14ac:dyDescent="0.25">
      <c r="A38" s="6" t="s">
        <v>41</v>
      </c>
      <c r="B38" s="6" t="s">
        <v>87</v>
      </c>
      <c r="C38" s="6" t="s">
        <v>88</v>
      </c>
      <c r="D38" s="6" t="s">
        <v>89</v>
      </c>
      <c r="E38" s="6" t="s">
        <v>90</v>
      </c>
      <c r="F38" s="6" t="s">
        <v>11</v>
      </c>
      <c r="G38" s="6" t="s">
        <v>12</v>
      </c>
    </row>
    <row r="39" spans="1:7" x14ac:dyDescent="0.25">
      <c r="A39" s="3" t="s">
        <v>46</v>
      </c>
      <c r="B39" s="28" t="str">
        <f>Tannarx!B38</f>
        <v>240×60×220 sm, 6 eshik, 2 oyna, laminat</v>
      </c>
      <c r="C39" s="21">
        <f>Tannarx!B5</f>
        <v>1</v>
      </c>
      <c r="D39" s="9">
        <f>Tannarx!B7</f>
        <v>3059238.9727591034</v>
      </c>
      <c r="E39" s="9">
        <f>Tannarx!B9</f>
        <v>0</v>
      </c>
      <c r="F39" s="9">
        <f>Tannarx!B10</f>
        <v>3059238.9727591034</v>
      </c>
      <c r="G39" s="10">
        <f>Tannarx!B13</f>
        <v>3060000</v>
      </c>
    </row>
    <row r="40" spans="1:7" x14ac:dyDescent="0.25">
      <c r="A40" s="3" t="s">
        <v>58</v>
      </c>
      <c r="B40" s="28" t="str">
        <f>Tannarx!B39</f>
        <v>170×220 sm, spinka 150 sm, figurali, oddiy kapot</v>
      </c>
      <c r="C40" s="21">
        <f>Tannarx!C5</f>
        <v>1</v>
      </c>
      <c r="D40" s="9">
        <f>Tannarx!C7</f>
        <v>1182540.8046341636</v>
      </c>
      <c r="E40" s="9">
        <f>Tannarx!C9</f>
        <v>0</v>
      </c>
      <c r="F40" s="9">
        <f>Tannarx!C10</f>
        <v>1182540.8046341636</v>
      </c>
      <c r="G40" s="10">
        <f>Tannarx!C13</f>
        <v>1183000</v>
      </c>
    </row>
    <row r="41" spans="1:7" x14ac:dyDescent="0.25">
      <c r="A41" s="3" t="s">
        <v>67</v>
      </c>
      <c r="B41" s="28" t="str">
        <f>Tannarx!B40</f>
        <v>180x200 sm</v>
      </c>
      <c r="C41" s="21">
        <f>Tannarx!D5</f>
        <v>1</v>
      </c>
      <c r="D41" s="9">
        <f>Tannarx!D7</f>
        <v>1200000</v>
      </c>
      <c r="E41" s="9">
        <f>Tannarx!D9</f>
        <v>0</v>
      </c>
      <c r="F41" s="9">
        <f>Tannarx!D10</f>
        <v>1200000</v>
      </c>
      <c r="G41" s="10">
        <f>Tannarx!D13</f>
        <v>1200000</v>
      </c>
    </row>
    <row r="42" spans="1:7" x14ac:dyDescent="0.25">
      <c r="A42" s="3" t="s">
        <v>74</v>
      </c>
      <c r="B42" s="28" t="str">
        <f>Tannarx!B41</f>
        <v>50×40×60 sm, 2 yashik, laminat</v>
      </c>
      <c r="C42" s="21">
        <f>Tannarx!E5</f>
        <v>1</v>
      </c>
      <c r="D42" s="9">
        <f>Tannarx!E7</f>
        <v>578169.10965965618</v>
      </c>
      <c r="E42" s="9">
        <f>Tannarx!E9</f>
        <v>0</v>
      </c>
      <c r="F42" s="9">
        <f>Tannarx!E10</f>
        <v>578169.10965965618</v>
      </c>
      <c r="G42" s="10">
        <f>Tannarx!E13</f>
        <v>579000</v>
      </c>
    </row>
    <row r="43" spans="1:7" x14ac:dyDescent="0.25">
      <c r="A43" s="3" t="s">
        <v>69</v>
      </c>
      <c r="B43" s="28" t="str">
        <f>Tannarx!B42</f>
        <v>160×45×83 sm, laminat</v>
      </c>
      <c r="C43" s="21">
        <f>Tannarx!F5</f>
        <v>1</v>
      </c>
      <c r="D43" s="9">
        <f>Tannarx!F7</f>
        <v>1382242.7677951509</v>
      </c>
      <c r="E43" s="9">
        <f>Tannarx!F9</f>
        <v>0</v>
      </c>
      <c r="F43" s="9">
        <f>Tannarx!F10</f>
        <v>1382242.7677951509</v>
      </c>
      <c r="G43" s="10">
        <f>Tannarx!F13</f>
        <v>1383000</v>
      </c>
    </row>
    <row r="44" spans="1:7" x14ac:dyDescent="0.25">
      <c r="A44" s="3" t="s">
        <v>77</v>
      </c>
      <c r="B44" s="28" t="str">
        <f>Tannarx!B43</f>
        <v>80×50×100 sm, 4 yashik, laminat</v>
      </c>
      <c r="C44" s="21">
        <f>Tannarx!G5</f>
        <v>1</v>
      </c>
      <c r="D44" s="9">
        <f>Tannarx!G7</f>
        <v>1301468.4574773079</v>
      </c>
      <c r="E44" s="9">
        <f>Tannarx!G9</f>
        <v>0</v>
      </c>
      <c r="F44" s="9">
        <f>Tannarx!G10</f>
        <v>1301468.4574773079</v>
      </c>
      <c r="G44" s="10">
        <f>Tannarx!G13</f>
        <v>1302000</v>
      </c>
    </row>
    <row r="45" spans="1:7" x14ac:dyDescent="0.25">
      <c r="A45" s="3" t="s">
        <v>79</v>
      </c>
      <c r="B45" s="28" t="str">
        <f>Tannarx!B44</f>
        <v>40×40×45 sm</v>
      </c>
      <c r="C45" s="21">
        <f>Tannarx!H5</f>
        <v>1</v>
      </c>
      <c r="D45" s="9">
        <f>Tannarx!H7</f>
        <v>185309.21994152851</v>
      </c>
      <c r="E45" s="9">
        <f>Tannarx!H9</f>
        <v>0</v>
      </c>
      <c r="F45" s="9">
        <f>Tannarx!H10</f>
        <v>185309.21994152851</v>
      </c>
      <c r="G45" s="10">
        <f>Tannarx!H13</f>
        <v>186000</v>
      </c>
    </row>
    <row r="46" spans="1:7" x14ac:dyDescent="0.25">
      <c r="A46" s="3" t="s">
        <v>81</v>
      </c>
      <c r="B46" s="28" t="str">
        <f>Tannarx!B45</f>
        <v>160×50 sm</v>
      </c>
      <c r="C46" s="21">
        <f>Tannarx!I5</f>
        <v>1</v>
      </c>
      <c r="D46" s="9">
        <f>Tannarx!I7</f>
        <v>411547.14285714278</v>
      </c>
      <c r="E46" s="9">
        <f>Tannarx!I9</f>
        <v>0</v>
      </c>
      <c r="F46" s="9">
        <f>Tannarx!I10</f>
        <v>411547.14285714278</v>
      </c>
      <c r="G46" s="10">
        <f>Tannarx!I13</f>
        <v>412000</v>
      </c>
    </row>
    <row r="47" spans="1:7" x14ac:dyDescent="0.25">
      <c r="A47" s="3" t="s">
        <v>91</v>
      </c>
      <c r="B47" s="28" t="str">
        <f>Tannarx!B46</f>
        <v>Butun buyurtma uchun</v>
      </c>
      <c r="C47" s="21"/>
      <c r="D47" s="9">
        <f>Tannarx!J7</f>
        <v>355000</v>
      </c>
      <c r="E47" s="9">
        <f>Tannarx!J9</f>
        <v>0</v>
      </c>
      <c r="F47" s="9">
        <f>Tannarx!J10</f>
        <v>355000</v>
      </c>
      <c r="G47" s="10">
        <f>Tannarx!J13</f>
        <v>355000</v>
      </c>
    </row>
    <row r="48" spans="1:7" ht="15.75" x14ac:dyDescent="0.25">
      <c r="A48" s="12" t="s">
        <v>23</v>
      </c>
      <c r="B48" s="13"/>
      <c r="C48" s="13"/>
      <c r="D48" s="14">
        <f>SUM(D39:D47)</f>
        <v>9655516.4751240537</v>
      </c>
      <c r="E48" s="14">
        <f>SUM(E39:E47)</f>
        <v>0</v>
      </c>
      <c r="F48" s="14">
        <f>SUM(F39:F47)</f>
        <v>9655516.4751240537</v>
      </c>
      <c r="G48" s="14">
        <f>SUM(G39:G47)</f>
        <v>9660000</v>
      </c>
    </row>
    <row r="50" spans="1:7" ht="15.75" x14ac:dyDescent="0.25">
      <c r="A50" s="17" t="s">
        <v>92</v>
      </c>
    </row>
    <row r="51" spans="1:7" ht="36" customHeight="1" x14ac:dyDescent="0.25">
      <c r="A51" s="6" t="s">
        <v>41</v>
      </c>
      <c r="B51" s="6" t="s">
        <v>93</v>
      </c>
      <c r="C51" s="6" t="s">
        <v>88</v>
      </c>
      <c r="D51" s="6" t="s">
        <v>94</v>
      </c>
      <c r="E51" s="6" t="s">
        <v>95</v>
      </c>
      <c r="F51" s="6" t="s">
        <v>96</v>
      </c>
      <c r="G51" s="6" t="s">
        <v>97</v>
      </c>
    </row>
    <row r="52" spans="1:7" x14ac:dyDescent="0.25">
      <c r="A52" s="3" t="s">
        <v>46</v>
      </c>
      <c r="B52" s="28" t="str">
        <f>Tannarx!B20</f>
        <v>to'liq (taqqoslash)</v>
      </c>
      <c r="C52" s="21">
        <f>Tannarx!B5</f>
        <v>1</v>
      </c>
      <c r="D52" s="9">
        <f>Tannarx!B18</f>
        <v>3059238.9727591034</v>
      </c>
      <c r="E52" s="10">
        <f>Tannarx!B19</f>
        <v>3060000</v>
      </c>
      <c r="F52" s="9">
        <f>Tannarx!B21</f>
        <v>2169528.5818860875</v>
      </c>
      <c r="G52" s="10">
        <f>Tannarx!B22</f>
        <v>2170000</v>
      </c>
    </row>
    <row r="53" spans="1:7" x14ac:dyDescent="0.25">
      <c r="A53" s="3" t="s">
        <v>74</v>
      </c>
      <c r="B53" s="28" t="str">
        <f>Tannarx!E20</f>
        <v>to'liq (taqqoslash)</v>
      </c>
      <c r="C53" s="21">
        <f>Tannarx!E5</f>
        <v>1</v>
      </c>
      <c r="D53" s="9">
        <f>Tannarx!E18</f>
        <v>578169.10965965618</v>
      </c>
      <c r="E53" s="10">
        <f>Tannarx!E19</f>
        <v>579000</v>
      </c>
      <c r="F53" s="9">
        <f>Tannarx!E21</f>
        <v>468116.39418346575</v>
      </c>
      <c r="G53" s="10">
        <f>Tannarx!E22</f>
        <v>469000</v>
      </c>
    </row>
    <row r="54" spans="1:7" x14ac:dyDescent="0.25">
      <c r="A54" s="3" t="s">
        <v>69</v>
      </c>
      <c r="B54" s="28" t="str">
        <f>Tannarx!F20</f>
        <v>to'liq (taqqoslash)</v>
      </c>
      <c r="C54" s="21">
        <f>Tannarx!F5</f>
        <v>1</v>
      </c>
      <c r="D54" s="9">
        <f>Tannarx!F18</f>
        <v>1382242.7677951509</v>
      </c>
      <c r="E54" s="10">
        <f>Tannarx!F19</f>
        <v>1383000</v>
      </c>
      <c r="F54" s="9">
        <f>Tannarx!F21</f>
        <v>1065818.7277157858</v>
      </c>
      <c r="G54" s="10">
        <f>Tannarx!F22</f>
        <v>1066000</v>
      </c>
    </row>
    <row r="55" spans="1:7" x14ac:dyDescent="0.25">
      <c r="A55" s="3" t="s">
        <v>77</v>
      </c>
      <c r="B55" s="28" t="str">
        <f>Tannarx!G20</f>
        <v>to'liq (taqqoslash)</v>
      </c>
      <c r="C55" s="21">
        <f>Tannarx!G5</f>
        <v>1</v>
      </c>
      <c r="D55" s="9">
        <f>Tannarx!G18</f>
        <v>1301468.4574773079</v>
      </c>
      <c r="E55" s="10">
        <f>Tannarx!G19</f>
        <v>1302000</v>
      </c>
      <c r="F55" s="9">
        <f>Tannarx!G21</f>
        <v>1052132.8439852444</v>
      </c>
      <c r="G55" s="10">
        <f>Tannarx!G22</f>
        <v>1053000</v>
      </c>
    </row>
    <row r="57" spans="1:7" x14ac:dyDescent="0.25">
      <c r="A57" s="22" t="str">
        <f>IF(Tannarx!B31&gt;0,"Spalniy: Laminat varag'ida "&amp;Tannarx!B31&amp;" ta kerakli xom ashyoning narxi yo'q","")</f>
        <v>Spalniy: Laminat varag'ida 3 ta kerakli xom ashyoning narxi yo'q</v>
      </c>
    </row>
    <row r="58" spans="1:7" x14ac:dyDescent="0.25">
      <c r="A58" s="22" t="str">
        <f>IF(AND(Tannarx!B32&gt;0,Tannarx!B33=1),"Spalniy: Krasheniy varag'ida "&amp;Tannarx!B32&amp;" ta narx yo'q — krasheniy narxi to'liq emas","")</f>
        <v/>
      </c>
    </row>
    <row r="59" spans="1:7" x14ac:dyDescent="0.25">
      <c r="A59" s="22" t="str">
        <f>IF(usta_foiz=0,"Spalniy: usta tanlanmagan yoki kelishuv foizi 0%","")</f>
        <v>Spalniy: usta tanlanmagan yoki kelishuv foizi 0%</v>
      </c>
    </row>
    <row r="60" spans="1:7" x14ac:dyDescent="0.25">
      <c r="A60" s="22" t="str">
        <f>IF(savdo_ustama=0,"Spalniy: Baraka ustamasi 0% (Sozlamalar)","")</f>
        <v>Spalniy: Baraka ustamasi 0% (Sozlamalar)</v>
      </c>
    </row>
  </sheetData>
  <sheetProtection sheet="1" formatCells="0" formatColumns="0" formatRows="0"/>
  <dataValidations count="19">
    <dataValidation type="list" showErrorMessage="1" errorTitle="Noto'g'ri qiymat" error="Ro'yxatdan tanlang" sqref="C5 C13 C21">
      <formula1>"0,1,2"</formula1>
      <formula2>0</formula2>
    </dataValidation>
    <dataValidation type="decimal" showErrorMessage="1" errorTitle="Noto'g'ri qiymat" error="100 dan 270 gacha son kiriting" sqref="C6">
      <formula1>100</formula1>
      <formula2>270</formula2>
    </dataValidation>
    <dataValidation type="decimal" showErrorMessage="1" errorTitle="Noto'g'ri qiymat" error="30 dan 90 gacha son kiriting" sqref="C7">
      <formula1>30</formula1>
      <formula2>90</formula2>
    </dataValidation>
    <dataValidation type="decimal" showErrorMessage="1" errorTitle="Noto'g'ri qiymat" error="60 dan 400 gacha son kiriting" sqref="C8">
      <formula1>60</formula1>
      <formula2>400</formula2>
    </dataValidation>
    <dataValidation type="list" showErrorMessage="1" errorTitle="Noto'g'ri qiymat" error="Ro'yxatdan tanlang" sqref="C9">
      <formula1>"2,4,6,8"</formula1>
      <formula2>0</formula2>
    </dataValidation>
    <dataValidation type="whole" showErrorMessage="1" errorTitle="Noto'g'ri qiymat" error="0 dan 8 gacha son kiriting" sqref="C10">
      <formula1>0</formula1>
      <formula2>8</formula2>
    </dataValidation>
    <dataValidation type="list" showErrorMessage="1" errorTitle="Noto'g'ri qiymat" error="Ro'yxatdan tanlang" sqref="C11:C12 C25:C26 C28:C29 C31:C32">
      <formula1>"Laminat,Krasheniy"</formula1>
      <formula2>0</formula2>
    </dataValidation>
    <dataValidation type="decimal" showErrorMessage="1" errorTitle="Noto'g'ri qiymat" error="150 dan 260 gacha son kiriting" sqref="C14">
      <formula1>150</formula1>
      <formula2>260</formula2>
    </dataValidation>
    <dataValidation type="decimal" showErrorMessage="1" errorTitle="Noto'g'ri qiymat" error="80 dan 240 gacha son kiriting" sqref="C15">
      <formula1>80</formula1>
      <formula2>240</formula2>
    </dataValidation>
    <dataValidation type="decimal" showErrorMessage="1" errorTitle="Noto'g'ri qiymat" error="20 dan 80 gacha son kiriting" sqref="C16">
      <formula1>20</formula1>
      <formula2>80</formula2>
    </dataValidation>
    <dataValidation type="decimal" showErrorMessage="1" errorTitle="Noto'g'ri qiymat" error="60 dan 200 gacha son kiriting" sqref="C17">
      <formula1>60</formula1>
      <formula2>200</formula2>
    </dataValidation>
    <dataValidation type="list" showErrorMessage="1" errorTitle="Noto'g'ri qiymat" error="Ro'yxatdan tanlang" sqref="C18">
      <formula1>"Ha,Yo'q"</formula1>
      <formula2>0</formula2>
    </dataValidation>
    <dataValidation type="list" showErrorMessage="1" errorTitle="Noto'g'ri qiymat" error="Ro'yxatdan tanlang" sqref="C19">
      <formula1>"Oddiy,Nasosli"</formula1>
      <formula2>0</formula2>
    </dataValidation>
    <dataValidation type="list" showErrorMessage="1" errorTitle="Noto'g'ri qiymat" error="Ro'yxatdan tanlang" sqref="C20">
      <formula1>"Yo'q,140x200,160x200,180x200,200x200"</formula1>
      <formula2>0</formula2>
    </dataValidation>
    <dataValidation type="decimal" showErrorMessage="1" errorTitle="Noto'g'ri qiymat" error="60 dan 250 gacha son kiriting" sqref="C22">
      <formula1>60</formula1>
      <formula2>250</formula2>
    </dataValidation>
    <dataValidation type="decimal" showErrorMessage="1" errorTitle="Noto'g'ri qiymat" error="30 dan 60 gacha son kiriting" sqref="C23">
      <formula1>30</formula1>
      <formula2>60</formula2>
    </dataValidation>
    <dataValidation type="decimal" showErrorMessage="1" errorTitle="Noto'g'ri qiymat" error="50 dan 120 gacha son kiriting" sqref="C24">
      <formula1>50</formula1>
      <formula2>120</formula2>
    </dataValidation>
    <dataValidation type="whole" showErrorMessage="1" errorTitle="Noto'g'ri qiymat" error="0 dan 10 gacha son kiriting" sqref="C27 C30 C33:C34">
      <formula1>0</formula1>
      <formula2>10</formula2>
    </dataValidation>
    <dataValidation type="list" allowBlank="1" showErrorMessage="1" errorTitle="Noto'g'ri qiymat" error="Ro'yxatdan tanlang" sqref="C35">
      <formula1>usta_royxat</formula1>
      <formula2>0</formula2>
    </dataValidation>
  </dataValidations>
  <pageMargins left="0.75" right="0.75" top="1" bottom="1" header="0.511811023622047" footer="0.511811023622047"/>
  <pageSetup paperSize="9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6" sqref="F6"/>
    </sheetView>
  </sheetViews>
  <sheetFormatPr defaultColWidth="8.7109375" defaultRowHeight="15" x14ac:dyDescent="0.25"/>
  <cols>
    <col min="1" max="1" width="5" customWidth="1"/>
    <col min="2" max="2" width="16" customWidth="1"/>
    <col min="3" max="3" width="13" customWidth="1"/>
    <col min="4" max="4" width="12" customWidth="1"/>
    <col min="5" max="7" width="15" customWidth="1"/>
    <col min="8" max="8" width="13" customWidth="1"/>
    <col min="9" max="10" width="16" customWidth="1"/>
    <col min="11" max="11" width="18" customWidth="1"/>
    <col min="12" max="12" width="34" customWidth="1"/>
  </cols>
  <sheetData>
    <row r="1" spans="1:12" ht="18" x14ac:dyDescent="0.25">
      <c r="A1" s="1" t="s">
        <v>98</v>
      </c>
    </row>
    <row r="2" spans="1:12" x14ac:dyDescent="0.25">
      <c r="A2" s="2" t="s">
        <v>99</v>
      </c>
    </row>
    <row r="4" spans="1:12" ht="36" customHeight="1" x14ac:dyDescent="0.25">
      <c r="A4" s="6" t="s">
        <v>100</v>
      </c>
      <c r="B4" s="6" t="s">
        <v>101</v>
      </c>
      <c r="C4" s="6" t="s">
        <v>102</v>
      </c>
      <c r="D4" s="6" t="s">
        <v>103</v>
      </c>
      <c r="E4" s="6" t="s">
        <v>104</v>
      </c>
      <c r="F4" s="6" t="s">
        <v>105</v>
      </c>
      <c r="G4" s="6" t="s">
        <v>106</v>
      </c>
      <c r="H4" s="6" t="s">
        <v>107</v>
      </c>
      <c r="I4" s="6" t="s">
        <v>11</v>
      </c>
      <c r="J4" s="6" t="s">
        <v>108</v>
      </c>
      <c r="K4" s="6" t="s">
        <v>109</v>
      </c>
      <c r="L4" s="6" t="s">
        <v>110</v>
      </c>
    </row>
    <row r="5" spans="1:12" x14ac:dyDescent="0.25">
      <c r="A5" s="27">
        <v>1</v>
      </c>
      <c r="B5" s="4" t="s">
        <v>111</v>
      </c>
      <c r="C5" s="31">
        <v>2.2000000000000002</v>
      </c>
      <c r="D5" s="31">
        <v>3</v>
      </c>
      <c r="E5" s="32">
        <f t="shared" ref="E5:E10" si="0">IF(OR(B5="",C5=""),"",IF(COUNTIFS(osh_t_mat,B5,osh_t_bal,C5)=0,"narx yo'q",SUMIFS(osh_t_narx,osh_t_mat,B5,osh_t_bal,C5)))</f>
        <v>252</v>
      </c>
      <c r="F5" s="33"/>
      <c r="G5" s="32">
        <f>IF(F5&lt;&gt;"",F5,IF(OR(E5="",E5="narx yo'q"),"",E5))</f>
        <v>252</v>
      </c>
      <c r="H5" s="34">
        <f>IF(OR(G5="",D5=""),"",D5*G5)</f>
        <v>756</v>
      </c>
      <c r="I5" s="9">
        <f t="shared" ref="I5:I10" si="1">IF(H5="","",H5*kurs_joriy)</f>
        <v>9044028</v>
      </c>
      <c r="J5" s="9">
        <f t="shared" ref="J5:J10" si="2">IF(G5="","",ROUNDUP(G5*kurs_joriy*(1+IF(LEFT(oshxona_narx_turi,3)="Tan",ustama_oshxona,0))/yaxlit,0)*yaxlit)</f>
        <v>3015000</v>
      </c>
      <c r="K5" s="10">
        <f>IF(OR(J5="",D5=""),"",J5*D5)</f>
        <v>9045000</v>
      </c>
      <c r="L5" s="35" t="s">
        <v>112</v>
      </c>
    </row>
    <row r="6" spans="1:12" x14ac:dyDescent="0.25">
      <c r="A6" s="27">
        <v>2</v>
      </c>
      <c r="B6" s="4"/>
      <c r="C6" s="31"/>
      <c r="D6" s="31"/>
      <c r="E6" s="32" t="str">
        <f t="shared" si="0"/>
        <v/>
      </c>
      <c r="F6" s="33"/>
      <c r="G6" s="32" t="str">
        <f>IF(F6&lt;&gt;"",F6,IF(OR(E6="",E6="narx yo'q"),"",E6))</f>
        <v/>
      </c>
      <c r="H6" s="34" t="str">
        <f>IF(OR(G6="",D6=""),"",D6*G6)</f>
        <v/>
      </c>
      <c r="I6" s="9" t="str">
        <f t="shared" si="1"/>
        <v/>
      </c>
      <c r="J6" s="9" t="str">
        <f t="shared" si="2"/>
        <v/>
      </c>
      <c r="K6" s="10" t="str">
        <f>IF(OR(J6="",D6=""),"",J6*D6)</f>
        <v/>
      </c>
      <c r="L6" s="35"/>
    </row>
    <row r="7" spans="1:12" x14ac:dyDescent="0.25">
      <c r="A7" s="27">
        <v>3</v>
      </c>
      <c r="B7" s="4"/>
      <c r="C7" s="31"/>
      <c r="D7" s="31"/>
      <c r="E7" s="32" t="str">
        <f t="shared" si="0"/>
        <v/>
      </c>
      <c r="F7" s="33"/>
      <c r="G7" s="32" t="str">
        <f>IF(F7&lt;&gt;"",F7,IF(OR(E7="",E7="narx yo'q"),"",E7))</f>
        <v/>
      </c>
      <c r="H7" s="34" t="str">
        <f>IF(OR(G7="",D7=""),"",D7*G7)</f>
        <v/>
      </c>
      <c r="I7" s="9" t="str">
        <f t="shared" si="1"/>
        <v/>
      </c>
      <c r="J7" s="9" t="str">
        <f t="shared" si="2"/>
        <v/>
      </c>
      <c r="K7" s="10" t="str">
        <f>IF(OR(J7="",D7=""),"",J7*D7)</f>
        <v/>
      </c>
      <c r="L7" s="35"/>
    </row>
    <row r="8" spans="1:12" x14ac:dyDescent="0.25">
      <c r="A8" s="27">
        <v>4</v>
      </c>
      <c r="B8" s="4"/>
      <c r="C8" s="31"/>
      <c r="D8" s="31"/>
      <c r="E8" s="32" t="str">
        <f t="shared" si="0"/>
        <v/>
      </c>
      <c r="F8" s="33"/>
      <c r="G8" s="32" t="str">
        <f>IF(F8&lt;&gt;"",F8,IF(OR(E8="",E8="narx yo'q"),"",E8))</f>
        <v/>
      </c>
      <c r="H8" s="34" t="str">
        <f>IF(OR(G8="",D8=""),"",D8*G8)</f>
        <v/>
      </c>
      <c r="I8" s="9" t="str">
        <f t="shared" si="1"/>
        <v/>
      </c>
      <c r="J8" s="9" t="str">
        <f t="shared" si="2"/>
        <v/>
      </c>
      <c r="K8" s="10" t="str">
        <f>IF(OR(J8="",D8=""),"",J8*D8)</f>
        <v/>
      </c>
      <c r="L8" s="35"/>
    </row>
    <row r="9" spans="1:12" x14ac:dyDescent="0.25">
      <c r="A9" s="27">
        <v>5</v>
      </c>
      <c r="B9" s="4"/>
      <c r="C9" s="31"/>
      <c r="D9" s="31"/>
      <c r="E9" s="32" t="str">
        <f t="shared" si="0"/>
        <v/>
      </c>
      <c r="F9" s="33"/>
      <c r="G9" s="32" t="str">
        <f>IF(F9&lt;&gt;"",F9,IF(OR(E9="",E9="narx yo'q"),"",E9))</f>
        <v/>
      </c>
      <c r="H9" s="34" t="str">
        <f>IF(OR(G9="",D9=""),"",D9*G9)</f>
        <v/>
      </c>
      <c r="I9" s="9" t="str">
        <f t="shared" si="1"/>
        <v/>
      </c>
      <c r="J9" s="9" t="str">
        <f t="shared" si="2"/>
        <v/>
      </c>
      <c r="K9" s="10" t="str">
        <f>IF(OR(J9="",D9=""),"",J9*D9)</f>
        <v/>
      </c>
      <c r="L9" s="35"/>
    </row>
    <row r="10" spans="1:12" x14ac:dyDescent="0.25">
      <c r="A10" s="27">
        <v>6</v>
      </c>
      <c r="B10" s="4"/>
      <c r="C10" s="31"/>
      <c r="D10" s="31"/>
      <c r="E10" s="32" t="str">
        <f t="shared" si="0"/>
        <v/>
      </c>
      <c r="F10" s="33"/>
      <c r="G10" s="32" t="str">
        <f>IF(F10&lt;&gt;"",F10,IF(OR(E10="",E10="narx yo'q"),"",E10))</f>
        <v/>
      </c>
      <c r="H10" s="34" t="str">
        <f>IF(OR(G10="",D10=""),"",D10*G10)</f>
        <v/>
      </c>
      <c r="I10" s="9" t="str">
        <f t="shared" si="1"/>
        <v/>
      </c>
      <c r="J10" s="9" t="str">
        <f t="shared" si="2"/>
        <v/>
      </c>
      <c r="K10" s="10" t="str">
        <f>IF(OR(J10="",D10=""),"",J10*D10)</f>
        <v/>
      </c>
      <c r="L10" s="35"/>
    </row>
    <row r="11" spans="1:12" ht="15.75" x14ac:dyDescent="0.25">
      <c r="A11" s="13"/>
      <c r="B11" s="12" t="s">
        <v>23</v>
      </c>
      <c r="C11" s="13"/>
      <c r="D11" s="36">
        <f>SUM(D5:D10)</f>
        <v>3</v>
      </c>
      <c r="E11" s="13"/>
      <c r="F11" s="13"/>
      <c r="G11" s="13"/>
      <c r="H11" s="37">
        <f>SUM(H5:H10)</f>
        <v>756</v>
      </c>
      <c r="I11" s="38">
        <f>SUM(I5:I10)</f>
        <v>9044028</v>
      </c>
      <c r="J11" s="13"/>
      <c r="K11" s="14">
        <f>SUM(K5:K10)</f>
        <v>9045000</v>
      </c>
      <c r="L11" s="13"/>
    </row>
    <row r="13" spans="1:12" x14ac:dyDescent="0.25">
      <c r="A13" s="2" t="s">
        <v>113</v>
      </c>
    </row>
    <row r="14" spans="1:12" x14ac:dyDescent="0.25">
      <c r="A14" s="2" t="s">
        <v>114</v>
      </c>
    </row>
    <row r="15" spans="1:12" x14ac:dyDescent="0.25">
      <c r="A15" s="2" t="s">
        <v>115</v>
      </c>
    </row>
    <row r="16" spans="1:12" x14ac:dyDescent="0.25">
      <c r="A16" s="2" t="s">
        <v>116</v>
      </c>
    </row>
    <row r="18" spans="1:1" x14ac:dyDescent="0.25">
      <c r="A18" s="22" t="str">
        <f>IF(COUNTIF(E5:E10,"narx yo'q")-COUNTIFS(E5:E10,"narx yo'q",F5:F10,"&lt;&gt;")&gt;0,"Oshxona: "&amp;(COUNTIF(E5:E10,"narx yo'q")-COUNTIFS(E5:E10,"narx yo'q",F5:F10,"&lt;&gt;"))&amp;" qatorda narx yo'q — qo'lda yozing","")</f>
        <v/>
      </c>
    </row>
    <row r="19" spans="1:1" x14ac:dyDescent="0.25">
      <c r="A19" s="22" t="str">
        <f>IF(AND(LEFT(oshxona_narx_turi,3)="Tan",ustama_oshxona=0),"Oshxona: Baraka ustamasi 0% (Sozlamalar)","")</f>
        <v>Oshxona: Baraka ustamasi 0% (Sozlamalar)</v>
      </c>
    </row>
  </sheetData>
  <sheetProtection formatCells="0" formatColumns="0" formatRows="0"/>
  <dataValidations count="3">
    <dataValidation type="list" allowBlank="1" sqref="B5:B10">
      <formula1>osh_xom_list</formula1>
      <formula2>0</formula2>
    </dataValidation>
    <dataValidation type="list" allowBlank="1" sqref="C5:C10">
      <formula1>osh_bal_list</formula1>
      <formula2>0</formula2>
    </dataValidation>
    <dataValidation type="decimal" operator="greaterThanOrEqual" allowBlank="1" showErrorMessage="1" errorTitle="Noto'g'ri qiymat" error="Uzunlikni metrda yozing (masalan 3.2)" sqref="D5:D10">
      <formula1>0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" sqref="D4"/>
    </sheetView>
  </sheetViews>
  <sheetFormatPr defaultColWidth="8.7109375" defaultRowHeight="15" x14ac:dyDescent="0.25"/>
  <cols>
    <col min="1" max="1" width="40" customWidth="1"/>
    <col min="2" max="2" width="9" customWidth="1"/>
    <col min="3" max="8" width="17" customWidth="1"/>
    <col min="9" max="9" width="18" customWidth="1"/>
  </cols>
  <sheetData>
    <row r="1" spans="1:9" ht="18" x14ac:dyDescent="0.25">
      <c r="A1" s="1" t="s">
        <v>117</v>
      </c>
    </row>
    <row r="2" spans="1:9" x14ac:dyDescent="0.25">
      <c r="A2" s="2" t="s">
        <v>118</v>
      </c>
    </row>
    <row r="4" spans="1:9" x14ac:dyDescent="0.25">
      <c r="A4" s="3" t="s">
        <v>84</v>
      </c>
      <c r="C4" s="7"/>
      <c r="D4" s="22" t="str">
        <f>IF(p_k_usta="","Diqqat: usta tanlanmagan — usta haqi 0","Kelishuv: "&amp;TEXT(usta_foiz_k,"0.0%"))</f>
        <v>Diqqat: usta tanlanmagan — usta haqi 0</v>
      </c>
    </row>
    <row r="6" spans="1:9" ht="36" customHeight="1" x14ac:dyDescent="0.25">
      <c r="A6" s="6" t="s">
        <v>42</v>
      </c>
      <c r="B6" s="6" t="s">
        <v>44</v>
      </c>
      <c r="C6" s="6" t="s">
        <v>119</v>
      </c>
      <c r="D6" s="6" t="s">
        <v>120</v>
      </c>
      <c r="E6" s="6" t="s">
        <v>121</v>
      </c>
      <c r="F6" s="6" t="s">
        <v>122</v>
      </c>
      <c r="G6" s="6" t="s">
        <v>123</v>
      </c>
      <c r="H6" s="6" t="s">
        <v>124</v>
      </c>
      <c r="I6" s="6" t="s">
        <v>125</v>
      </c>
    </row>
    <row r="7" spans="1:9" x14ac:dyDescent="0.25">
      <c r="A7" s="3" t="s">
        <v>126</v>
      </c>
      <c r="B7" s="27"/>
      <c r="C7" s="7" t="s">
        <v>46</v>
      </c>
      <c r="D7" s="7" t="s">
        <v>127</v>
      </c>
      <c r="E7" s="7" t="s">
        <v>128</v>
      </c>
      <c r="F7" s="7"/>
      <c r="G7" s="7"/>
      <c r="H7" s="7"/>
      <c r="I7" s="25"/>
    </row>
    <row r="8" spans="1:9" ht="30" x14ac:dyDescent="0.25">
      <c r="A8" s="25" t="s">
        <v>129</v>
      </c>
      <c r="B8" s="27"/>
      <c r="C8" s="7" t="s">
        <v>130</v>
      </c>
      <c r="D8" s="7" t="s">
        <v>131</v>
      </c>
      <c r="E8" s="7" t="s">
        <v>132</v>
      </c>
      <c r="F8" s="7"/>
      <c r="G8" s="7"/>
      <c r="H8" s="7"/>
      <c r="I8" s="25"/>
    </row>
    <row r="9" spans="1:9" x14ac:dyDescent="0.25">
      <c r="A9" s="3" t="s">
        <v>88</v>
      </c>
      <c r="B9" s="27" t="s">
        <v>48</v>
      </c>
      <c r="C9" s="39">
        <v>1</v>
      </c>
      <c r="D9" s="39">
        <v>1</v>
      </c>
      <c r="E9" s="39">
        <v>1</v>
      </c>
      <c r="F9" s="39">
        <v>0</v>
      </c>
      <c r="G9" s="39">
        <v>0</v>
      </c>
      <c r="H9" s="39">
        <v>0</v>
      </c>
      <c r="I9" s="25"/>
    </row>
    <row r="10" spans="1:9" x14ac:dyDescent="0.25">
      <c r="A10" s="25" t="s">
        <v>133</v>
      </c>
      <c r="B10" s="27" t="s">
        <v>50</v>
      </c>
      <c r="C10" s="39">
        <v>200</v>
      </c>
      <c r="D10" s="39">
        <v>120</v>
      </c>
      <c r="E10" s="39">
        <v>300</v>
      </c>
      <c r="F10" s="39"/>
      <c r="G10" s="39"/>
      <c r="H10" s="39"/>
      <c r="I10" s="25"/>
    </row>
    <row r="11" spans="1:9" x14ac:dyDescent="0.25">
      <c r="A11" s="25" t="s">
        <v>71</v>
      </c>
      <c r="B11" s="27" t="s">
        <v>50</v>
      </c>
      <c r="C11" s="39">
        <v>240</v>
      </c>
      <c r="D11" s="39">
        <v>220</v>
      </c>
      <c r="E11" s="39">
        <v>250</v>
      </c>
      <c r="F11" s="39"/>
      <c r="G11" s="39"/>
      <c r="H11" s="39"/>
      <c r="I11" s="25"/>
    </row>
    <row r="12" spans="1:9" x14ac:dyDescent="0.25">
      <c r="A12" s="25" t="s">
        <v>134</v>
      </c>
      <c r="B12" s="27" t="s">
        <v>50</v>
      </c>
      <c r="C12" s="39">
        <v>60</v>
      </c>
      <c r="D12" s="39">
        <v>40</v>
      </c>
      <c r="E12" s="39">
        <v>50</v>
      </c>
      <c r="F12" s="39"/>
      <c r="G12" s="39"/>
      <c r="H12" s="39"/>
      <c r="I12" s="25"/>
    </row>
    <row r="13" spans="1:9" x14ac:dyDescent="0.25">
      <c r="A13" s="25" t="s">
        <v>135</v>
      </c>
      <c r="B13" s="27" t="s">
        <v>48</v>
      </c>
      <c r="C13" s="39"/>
      <c r="D13" s="39"/>
      <c r="E13" s="39">
        <v>4</v>
      </c>
      <c r="F13" s="39"/>
      <c r="G13" s="39"/>
      <c r="H13" s="39"/>
      <c r="I13" s="25"/>
    </row>
    <row r="14" spans="1:9" x14ac:dyDescent="0.25">
      <c r="A14" s="25" t="s">
        <v>136</v>
      </c>
      <c r="B14" s="27"/>
      <c r="C14" s="7" t="s">
        <v>137</v>
      </c>
      <c r="D14" s="7" t="s">
        <v>66</v>
      </c>
      <c r="E14" s="7" t="s">
        <v>138</v>
      </c>
      <c r="F14" s="7"/>
      <c r="G14" s="7"/>
      <c r="H14" s="7"/>
      <c r="I14" s="25"/>
    </row>
    <row r="15" spans="1:9" x14ac:dyDescent="0.25">
      <c r="A15" s="25" t="s">
        <v>139</v>
      </c>
      <c r="B15" s="27" t="s">
        <v>48</v>
      </c>
      <c r="C15" s="39"/>
      <c r="D15" s="39">
        <v>2</v>
      </c>
      <c r="E15" s="39"/>
      <c r="F15" s="39"/>
      <c r="G15" s="39"/>
      <c r="H15" s="39"/>
      <c r="I15" s="25"/>
    </row>
    <row r="16" spans="1:9" x14ac:dyDescent="0.25">
      <c r="A16" s="25" t="s">
        <v>140</v>
      </c>
      <c r="B16" s="27" t="s">
        <v>48</v>
      </c>
      <c r="C16" s="39">
        <v>1</v>
      </c>
      <c r="D16" s="39">
        <v>1</v>
      </c>
      <c r="E16" s="39">
        <v>0</v>
      </c>
      <c r="F16" s="39"/>
      <c r="G16" s="39"/>
      <c r="H16" s="39"/>
      <c r="I16" s="25"/>
    </row>
    <row r="17" spans="1:9" x14ac:dyDescent="0.25">
      <c r="A17" s="25" t="s">
        <v>141</v>
      </c>
      <c r="B17" s="27" t="s">
        <v>48</v>
      </c>
      <c r="C17" s="39">
        <v>6</v>
      </c>
      <c r="D17" s="39">
        <v>4</v>
      </c>
      <c r="E17" s="39">
        <v>10</v>
      </c>
      <c r="F17" s="39"/>
      <c r="G17" s="39"/>
      <c r="H17" s="39"/>
      <c r="I17" s="25"/>
    </row>
    <row r="18" spans="1:9" x14ac:dyDescent="0.25">
      <c r="A18" s="25" t="s">
        <v>142</v>
      </c>
      <c r="B18" s="27" t="s">
        <v>48</v>
      </c>
      <c r="C18" s="39">
        <v>2</v>
      </c>
      <c r="D18" s="39">
        <v>0</v>
      </c>
      <c r="E18" s="39">
        <v>2</v>
      </c>
      <c r="F18" s="39"/>
      <c r="G18" s="39"/>
      <c r="H18" s="39"/>
      <c r="I18" s="25"/>
    </row>
    <row r="19" spans="1:9" x14ac:dyDescent="0.25">
      <c r="A19" s="25" t="s">
        <v>143</v>
      </c>
      <c r="B19" s="27" t="s">
        <v>48</v>
      </c>
      <c r="C19" s="39">
        <v>1</v>
      </c>
      <c r="D19" s="39">
        <v>0</v>
      </c>
      <c r="E19" s="39">
        <v>2</v>
      </c>
      <c r="F19" s="39"/>
      <c r="G19" s="39"/>
      <c r="H19" s="39"/>
      <c r="I19" s="25"/>
    </row>
    <row r="20" spans="1:9" x14ac:dyDescent="0.25">
      <c r="A20" s="25" t="s">
        <v>144</v>
      </c>
      <c r="B20" s="27" t="s">
        <v>48</v>
      </c>
      <c r="C20" s="39">
        <v>0</v>
      </c>
      <c r="D20" s="39">
        <v>6</v>
      </c>
      <c r="E20" s="39">
        <v>0</v>
      </c>
      <c r="F20" s="39"/>
      <c r="G20" s="39"/>
      <c r="H20" s="39"/>
      <c r="I20" s="25"/>
    </row>
    <row r="21" spans="1:9" x14ac:dyDescent="0.25">
      <c r="A21" s="25" t="s">
        <v>145</v>
      </c>
      <c r="B21" s="27"/>
      <c r="C21" s="7" t="s">
        <v>16</v>
      </c>
      <c r="D21" s="7" t="s">
        <v>16</v>
      </c>
      <c r="E21" s="7" t="s">
        <v>19</v>
      </c>
      <c r="F21" s="7"/>
      <c r="G21" s="7"/>
      <c r="H21" s="7"/>
      <c r="I21" s="25"/>
    </row>
    <row r="22" spans="1:9" x14ac:dyDescent="0.25">
      <c r="A22" s="25" t="s">
        <v>146</v>
      </c>
      <c r="B22" s="27"/>
      <c r="C22" s="7" t="s">
        <v>56</v>
      </c>
      <c r="D22" s="7" t="s">
        <v>56</v>
      </c>
      <c r="E22" s="7" t="s">
        <v>56</v>
      </c>
      <c r="F22" s="7"/>
      <c r="G22" s="7"/>
      <c r="H22" s="7"/>
      <c r="I22" s="25"/>
    </row>
    <row r="23" spans="1:9" x14ac:dyDescent="0.25">
      <c r="A23" s="25" t="s">
        <v>57</v>
      </c>
      <c r="B23" s="27"/>
      <c r="C23" s="7" t="s">
        <v>56</v>
      </c>
      <c r="D23" s="7" t="s">
        <v>56</v>
      </c>
      <c r="E23" s="7" t="s">
        <v>56</v>
      </c>
      <c r="F23" s="7"/>
      <c r="G23" s="7"/>
      <c r="H23" s="7"/>
      <c r="I23" s="25"/>
    </row>
    <row r="25" spans="1:9" ht="15.75" x14ac:dyDescent="0.25">
      <c r="A25" s="17" t="s">
        <v>147</v>
      </c>
    </row>
    <row r="26" spans="1:9" x14ac:dyDescent="0.25">
      <c r="A26" s="25" t="s">
        <v>148</v>
      </c>
      <c r="B26" s="27" t="s">
        <v>48</v>
      </c>
      <c r="C26" s="40">
        <f>IF('Korpus hisob'!C11=0,"",'Korpus hisob'!C14)</f>
        <v>3</v>
      </c>
      <c r="D26" s="40">
        <f>IF('Korpus hisob'!D11=0,"",'Korpus hisob'!D14)</f>
        <v>2</v>
      </c>
      <c r="E26" s="40">
        <f>IF('Korpus hisob'!E11=0,"",'Korpus hisob'!E14)</f>
        <v>4</v>
      </c>
      <c r="F26" s="40" t="str">
        <f>IF('Korpus hisob'!F11=0,"",'Korpus hisob'!F14)</f>
        <v/>
      </c>
      <c r="G26" s="40" t="str">
        <f>IF('Korpus hisob'!G11=0,"",'Korpus hisob'!G14)</f>
        <v/>
      </c>
      <c r="H26" s="40" t="str">
        <f>IF('Korpus hisob'!H11=0,"",'Korpus hisob'!H14)</f>
        <v/>
      </c>
      <c r="I26" s="25"/>
    </row>
    <row r="27" spans="1:9" x14ac:dyDescent="0.25">
      <c r="A27" s="25" t="s">
        <v>149</v>
      </c>
      <c r="B27" s="27" t="s">
        <v>48</v>
      </c>
      <c r="C27" s="40">
        <f>IF('Korpus hisob'!C11=0,"",'Korpus hisob'!C15)</f>
        <v>2</v>
      </c>
      <c r="D27" s="40">
        <f>IF('Korpus hisob'!D11=0,"",'Korpus hisob'!D15)</f>
        <v>2</v>
      </c>
      <c r="E27" s="40">
        <f>IF('Korpus hisob'!E11=0,"",'Korpus hisob'!E15)</f>
        <v>0</v>
      </c>
      <c r="F27" s="40" t="str">
        <f>IF('Korpus hisob'!F11=0,"",'Korpus hisob'!F15)</f>
        <v/>
      </c>
      <c r="G27" s="40" t="str">
        <f>IF('Korpus hisob'!G11=0,"",'Korpus hisob'!G15)</f>
        <v/>
      </c>
      <c r="H27" s="40" t="str">
        <f>IF('Korpus hisob'!H11=0,"",'Korpus hisob'!H15)</f>
        <v/>
      </c>
      <c r="I27" s="25"/>
    </row>
    <row r="28" spans="1:9" x14ac:dyDescent="0.25">
      <c r="A28" s="25" t="s">
        <v>150</v>
      </c>
      <c r="B28" s="27" t="s">
        <v>50</v>
      </c>
      <c r="C28" s="41" t="str">
        <f>IF('Korpus hisob'!C11=0,"",IF('Korpus hisob'!C15=0,"—",ROUND('Korpus hisob'!C30/10,1)&amp;" × "&amp;ROUND('Korpus hisob'!C31/10,1)))</f>
        <v>101,5 × 236</v>
      </c>
      <c r="D28" s="41" t="str">
        <f>IF('Korpus hisob'!D11=0,"",IF('Korpus hisob'!D15=0,"—",ROUND('Korpus hisob'!D30/10,1)&amp;" × "&amp;ROUND('Korpus hisob'!D31/10,1)))</f>
        <v>59,7 × 211,7</v>
      </c>
      <c r="E28" s="41" t="str">
        <f>IF('Korpus hisob'!E11=0,"",IF('Korpus hisob'!E15=0,"—",ROUND('Korpus hisob'!E30/10,1)&amp;" × "&amp;ROUND('Korpus hisob'!E31/10,1)))</f>
        <v>—</v>
      </c>
      <c r="F28" s="41" t="str">
        <f>IF('Korpus hisob'!F11=0,"",IF('Korpus hisob'!F15=0,"—",ROUND('Korpus hisob'!F30/10,1)&amp;" × "&amp;ROUND('Korpus hisob'!F31/10,1)))</f>
        <v/>
      </c>
      <c r="G28" s="41" t="str">
        <f>IF('Korpus hisob'!G11=0,"",IF('Korpus hisob'!G15=0,"—",ROUND('Korpus hisob'!G30/10,1)&amp;" × "&amp;ROUND('Korpus hisob'!G31/10,1)))</f>
        <v/>
      </c>
      <c r="H28" s="41" t="str">
        <f>IF('Korpus hisob'!H11=0,"",IF('Korpus hisob'!H15=0,"—",ROUND('Korpus hisob'!H30/10,1)&amp;" × "&amp;ROUND('Korpus hisob'!H31/10,1)))</f>
        <v/>
      </c>
      <c r="I28" s="25"/>
    </row>
    <row r="29" spans="1:9" x14ac:dyDescent="0.25">
      <c r="A29" s="25" t="s">
        <v>151</v>
      </c>
      <c r="B29" s="27" t="s">
        <v>152</v>
      </c>
      <c r="C29" s="42">
        <f>IF('Korpus hisob'!C11=0,"",'Korpus hisob'!C93)</f>
        <v>11.940973333333332</v>
      </c>
      <c r="D29" s="42">
        <f>IF('Korpus hisob'!D11=0,"",'Korpus hisob'!D93)</f>
        <v>6.8452979999999997</v>
      </c>
      <c r="E29" s="42">
        <f>IF('Korpus hisob'!E11=0,"",'Korpus hisob'!E93)</f>
        <v>13.745839999999998</v>
      </c>
      <c r="F29" s="42" t="str">
        <f>IF('Korpus hisob'!F11=0,"",'Korpus hisob'!F93)</f>
        <v/>
      </c>
      <c r="G29" s="42" t="str">
        <f>IF('Korpus hisob'!G11=0,"",'Korpus hisob'!G93)</f>
        <v/>
      </c>
      <c r="H29" s="42" t="str">
        <f>IF('Korpus hisob'!H11=0,"",'Korpus hisob'!H93)</f>
        <v/>
      </c>
      <c r="I29" s="25"/>
    </row>
    <row r="30" spans="1:9" x14ac:dyDescent="0.25">
      <c r="A30" s="25" t="s">
        <v>153</v>
      </c>
      <c r="B30" s="27" t="s">
        <v>152</v>
      </c>
      <c r="C30" s="42">
        <f>IF('Korpus hisob'!C11=0,"",'Korpus hisob'!C49)</f>
        <v>0</v>
      </c>
      <c r="D30" s="42">
        <f>IF('Korpus hisob'!D11=0,"",'Korpus hisob'!D49)</f>
        <v>0</v>
      </c>
      <c r="E30" s="42">
        <f>IF('Korpus hisob'!E11=0,"",'Korpus hisob'!E49)</f>
        <v>0</v>
      </c>
      <c r="F30" s="42" t="str">
        <f>IF('Korpus hisob'!F11=0,"",'Korpus hisob'!F49)</f>
        <v/>
      </c>
      <c r="G30" s="42" t="str">
        <f>IF('Korpus hisob'!G11=0,"",'Korpus hisob'!G49)</f>
        <v/>
      </c>
      <c r="H30" s="42" t="str">
        <f>IF('Korpus hisob'!H11=0,"",'Korpus hisob'!H49)</f>
        <v/>
      </c>
      <c r="I30" s="25"/>
    </row>
    <row r="31" spans="1:9" x14ac:dyDescent="0.25">
      <c r="A31" s="25" t="s">
        <v>154</v>
      </c>
      <c r="B31" s="27" t="s">
        <v>155</v>
      </c>
      <c r="C31" s="9">
        <f>IF('Korpus hisob'!C11=0,"",'Korpus hisob'!C87)</f>
        <v>2178652.3318439941</v>
      </c>
      <c r="D31" s="9">
        <f>IF('Korpus hisob'!D11=0,"",'Korpus hisob'!D87)</f>
        <v>1411005.4118907563</v>
      </c>
      <c r="E31" s="9">
        <f>IF('Korpus hisob'!E11=0,"",'Korpus hisob'!E87)</f>
        <v>1874358.0214446431</v>
      </c>
      <c r="F31" s="9" t="str">
        <f>IF('Korpus hisob'!F11=0,"",'Korpus hisob'!F87)</f>
        <v/>
      </c>
      <c r="G31" s="9" t="str">
        <f>IF('Korpus hisob'!G11=0,"",'Korpus hisob'!G87)</f>
        <v/>
      </c>
      <c r="H31" s="9" t="str">
        <f>IF('Korpus hisob'!H11=0,"",'Korpus hisob'!H87)</f>
        <v/>
      </c>
      <c r="I31" s="10">
        <f>'Korpus hisob'!I87</f>
        <v>5464015.7651793938</v>
      </c>
    </row>
    <row r="32" spans="1:9" x14ac:dyDescent="0.25">
      <c r="A32" s="25" t="s">
        <v>156</v>
      </c>
      <c r="B32" s="27" t="s">
        <v>155</v>
      </c>
      <c r="C32" s="9">
        <f>IF('Korpus hisob'!C11=0,"",'Korpus hisob'!C88)</f>
        <v>0</v>
      </c>
      <c r="D32" s="9">
        <f>IF('Korpus hisob'!D11=0,"",'Korpus hisob'!D88)</f>
        <v>0</v>
      </c>
      <c r="E32" s="9">
        <f>IF('Korpus hisob'!E11=0,"",'Korpus hisob'!E88)</f>
        <v>0</v>
      </c>
      <c r="F32" s="9" t="str">
        <f>IF('Korpus hisob'!F11=0,"",'Korpus hisob'!F88)</f>
        <v/>
      </c>
      <c r="G32" s="9" t="str">
        <f>IF('Korpus hisob'!G11=0,"",'Korpus hisob'!G88)</f>
        <v/>
      </c>
      <c r="H32" s="9" t="str">
        <f>IF('Korpus hisob'!H11=0,"",'Korpus hisob'!H88)</f>
        <v/>
      </c>
      <c r="I32" s="10">
        <f>'Korpus hisob'!I88</f>
        <v>0</v>
      </c>
    </row>
    <row r="33" spans="1:9" x14ac:dyDescent="0.25">
      <c r="A33" s="43" t="s">
        <v>157</v>
      </c>
      <c r="B33" s="44" t="s">
        <v>155</v>
      </c>
      <c r="C33" s="38">
        <f>IF('Korpus hisob'!C11=0,"",'Korpus hisob'!C89)</f>
        <v>2178652.3318439941</v>
      </c>
      <c r="D33" s="38">
        <f>IF('Korpus hisob'!D11=0,"",'Korpus hisob'!D89)</f>
        <v>1411005.4118907563</v>
      </c>
      <c r="E33" s="38">
        <f>IF('Korpus hisob'!E11=0,"",'Korpus hisob'!E89)</f>
        <v>1874358.0214446431</v>
      </c>
      <c r="F33" s="38" t="str">
        <f>IF('Korpus hisob'!F11=0,"",'Korpus hisob'!F89)</f>
        <v/>
      </c>
      <c r="G33" s="38" t="str">
        <f>IF('Korpus hisob'!G11=0,"",'Korpus hisob'!G89)</f>
        <v/>
      </c>
      <c r="H33" s="38" t="str">
        <f>IF('Korpus hisob'!H11=0,"",'Korpus hisob'!H89)</f>
        <v/>
      </c>
      <c r="I33" s="38">
        <f>'Korpus hisob'!I89</f>
        <v>5464015.7651793938</v>
      </c>
    </row>
    <row r="34" spans="1:9" x14ac:dyDescent="0.25">
      <c r="A34" s="25" t="s">
        <v>158</v>
      </c>
      <c r="B34" s="27" t="s">
        <v>155</v>
      </c>
      <c r="C34" s="9">
        <f>IF('Korpus hisob'!C11=0,"",'Korpus hisob'!C90)</f>
        <v>2179000</v>
      </c>
      <c r="D34" s="9">
        <f>IF('Korpus hisob'!D11=0,"",'Korpus hisob'!D90)</f>
        <v>1412000</v>
      </c>
      <c r="E34" s="9">
        <f>IF('Korpus hisob'!E11=0,"",'Korpus hisob'!E90)</f>
        <v>1875000</v>
      </c>
      <c r="F34" s="9" t="str">
        <f>IF('Korpus hisob'!F11=0,"",'Korpus hisob'!F90)</f>
        <v/>
      </c>
      <c r="G34" s="9" t="str">
        <f>IF('Korpus hisob'!G11=0,"",'Korpus hisob'!G90)</f>
        <v/>
      </c>
      <c r="H34" s="9" t="str">
        <f>IF('Korpus hisob'!H11=0,"",'Korpus hisob'!H90)</f>
        <v/>
      </c>
      <c r="I34" s="25"/>
    </row>
    <row r="35" spans="1:9" x14ac:dyDescent="0.25">
      <c r="A35" s="43" t="s">
        <v>159</v>
      </c>
      <c r="B35" s="44" t="s">
        <v>155</v>
      </c>
      <c r="C35" s="38">
        <f>IF('Korpus hisob'!C11=0,"",'Korpus hisob'!C91)</f>
        <v>2179000</v>
      </c>
      <c r="D35" s="38">
        <f>IF('Korpus hisob'!D11=0,"",'Korpus hisob'!D91)</f>
        <v>1412000</v>
      </c>
      <c r="E35" s="38">
        <f>IF('Korpus hisob'!E11=0,"",'Korpus hisob'!E91)</f>
        <v>1875000</v>
      </c>
      <c r="F35" s="38" t="str">
        <f>IF('Korpus hisob'!F11=0,"",'Korpus hisob'!F91)</f>
        <v/>
      </c>
      <c r="G35" s="38" t="str">
        <f>IF('Korpus hisob'!G11=0,"",'Korpus hisob'!G91)</f>
        <v/>
      </c>
      <c r="H35" s="38" t="str">
        <f>IF('Korpus hisob'!H11=0,"",'Korpus hisob'!H91)</f>
        <v/>
      </c>
      <c r="I35" s="38">
        <f>'Korpus hisob'!I91</f>
        <v>5466000</v>
      </c>
    </row>
    <row r="36" spans="1:9" x14ac:dyDescent="0.25">
      <c r="A36" s="25" t="s">
        <v>160</v>
      </c>
      <c r="B36" s="27" t="s">
        <v>161</v>
      </c>
      <c r="C36" s="40">
        <f>IF('Korpus hisob'!C11=0,"",'Korpus hisob'!C92)</f>
        <v>3</v>
      </c>
      <c r="D36" s="40">
        <f>IF('Korpus hisob'!D11=0,"",'Korpus hisob'!D92)</f>
        <v>1</v>
      </c>
      <c r="E36" s="40">
        <f>IF('Korpus hisob'!E11=0,"",'Korpus hisob'!E92)</f>
        <v>1</v>
      </c>
      <c r="F36" s="40" t="str">
        <f>IF('Korpus hisob'!F11=0,"",'Korpus hisob'!F92)</f>
        <v/>
      </c>
      <c r="G36" s="40" t="str">
        <f>IF('Korpus hisob'!G11=0,"",'Korpus hisob'!G92)</f>
        <v/>
      </c>
      <c r="H36" s="40" t="str">
        <f>IF('Korpus hisob'!H11=0,"",'Korpus hisob'!H92)</f>
        <v/>
      </c>
      <c r="I36" s="45">
        <f>'Korpus hisob'!I92</f>
        <v>5</v>
      </c>
    </row>
    <row r="38" spans="1:9" ht="60" customHeight="1" x14ac:dyDescent="0.25">
      <c r="A38" s="3" t="s">
        <v>162</v>
      </c>
      <c r="C38" s="46" t="str">
        <f>IF('Korpus hisob'!C11=0,"",'Korpus mebel'!C10&amp;"×"&amp;'Korpus mebel'!C12&amp;"×"&amp;'Korpus mebel'!C11&amp;" sm, "&amp;IF('Korpus hisob'!C15=0,"eshiksiz",'Korpus hisob'!C15&amp;" ta "&amp;IF('Korpus hisob'!C13=1,"kupe","oddiy")&amp;" eshik")&amp;IF('Korpus hisob'!C16&gt;0,", "&amp;'Korpus hisob'!C16&amp;" oyna","")&amp;", "&amp;IF(AND('Korpus mebel'!C22="Krasheniy",'Korpus mebel'!C23="Krasheniy"),"to'liq krasheniy",IF('Korpus mebel'!C22="Krasheniy","yuzi krasheniy",IF('Korpus mebel'!C23="Krasheniy","yoni krasheniy","laminat")))&amp;IF('Korpus mebel'!C8="",""," — "&amp;'Korpus mebel'!C8))</f>
        <v>200×60×240 sm, 2 ta kupe eshik, 1 oyna, laminat — Namuna: yotoqxona</v>
      </c>
      <c r="D38" s="46" t="str">
        <f>IF('Korpus hisob'!D11=0,"",'Korpus mebel'!D10&amp;"×"&amp;'Korpus mebel'!D12&amp;"×"&amp;'Korpus mebel'!D11&amp;" sm, "&amp;IF('Korpus hisob'!D15=0,"eshiksiz",'Korpus hisob'!D15&amp;" ta "&amp;IF('Korpus hisob'!D13=1,"kupe","oddiy")&amp;" eshik")&amp;IF('Korpus hisob'!D16&gt;0,", "&amp;'Korpus hisob'!D16&amp;" oyna","")&amp;", "&amp;IF(AND('Korpus mebel'!D22="Krasheniy",'Korpus mebel'!D23="Krasheniy"),"to'liq krasheniy",IF('Korpus mebel'!D22="Krasheniy","yuzi krasheniy",IF('Korpus mebel'!D23="Krasheniy","yoni krasheniy","laminat")))&amp;IF('Korpus mebel'!D8="",""," — "&amp;'Korpus mebel'!D8))</f>
        <v>120×40×220 sm, 2 ta oddiy eshik, 1 oyna, laminat — Namuna: yo'lak</v>
      </c>
      <c r="E38" s="46" t="str">
        <f>IF('Korpus hisob'!E11=0,"",'Korpus mebel'!E10&amp;"×"&amp;'Korpus mebel'!E12&amp;"×"&amp;'Korpus mebel'!E11&amp;" sm, "&amp;IF('Korpus hisob'!E15=0,"eshiksiz",'Korpus hisob'!E15&amp;" ta "&amp;IF('Korpus hisob'!E13=1,"kupe","oddiy")&amp;" eshik")&amp;IF('Korpus hisob'!E16&gt;0,", "&amp;'Korpus hisob'!E16&amp;" oyna","")&amp;", "&amp;IF(AND('Korpus mebel'!E22="Krasheniy",'Korpus mebel'!E23="Krasheniy"),"to'liq krasheniy",IF('Korpus mebel'!E22="Krasheniy","yuzi krasheniy",IF('Korpus mebel'!E23="Krasheniy","yoni krasheniy","laminat")))&amp;IF('Korpus mebel'!E8="",""," — "&amp;'Korpus mebel'!E8))</f>
        <v>300×50×250 sm, eshiksiz, laminat — Namuna: kiyim xonasi</v>
      </c>
      <c r="F38" s="46" t="str">
        <f>IF('Korpus hisob'!F11=0,"",'Korpus mebel'!F10&amp;"×"&amp;'Korpus mebel'!F12&amp;"×"&amp;'Korpus mebel'!F11&amp;" sm, "&amp;IF('Korpus hisob'!F15=0,"eshiksiz",'Korpus hisob'!F15&amp;" ta "&amp;IF('Korpus hisob'!F13=1,"kupe","oddiy")&amp;" eshik")&amp;IF('Korpus hisob'!F16&gt;0,", "&amp;'Korpus hisob'!F16&amp;" oyna","")&amp;", "&amp;IF(AND('Korpus mebel'!F22="Krasheniy",'Korpus mebel'!F23="Krasheniy"),"to'liq krasheniy",IF('Korpus mebel'!F22="Krasheniy","yuzi krasheniy",IF('Korpus mebel'!F23="Krasheniy","yoni krasheniy","laminat")))&amp;IF('Korpus mebel'!F8="",""," — "&amp;'Korpus mebel'!F8))</f>
        <v/>
      </c>
      <c r="G38" s="46" t="str">
        <f>IF('Korpus hisob'!G11=0,"",'Korpus mebel'!G10&amp;"×"&amp;'Korpus mebel'!G12&amp;"×"&amp;'Korpus mebel'!G11&amp;" sm, "&amp;IF('Korpus hisob'!G15=0,"eshiksiz",'Korpus hisob'!G15&amp;" ta "&amp;IF('Korpus hisob'!G13=1,"kupe","oddiy")&amp;" eshik")&amp;IF('Korpus hisob'!G16&gt;0,", "&amp;'Korpus hisob'!G16&amp;" oyna","")&amp;", "&amp;IF(AND('Korpus mebel'!G22="Krasheniy",'Korpus mebel'!G23="Krasheniy"),"to'liq krasheniy",IF('Korpus mebel'!G22="Krasheniy","yuzi krasheniy",IF('Korpus mebel'!G23="Krasheniy","yoni krasheniy","laminat")))&amp;IF('Korpus mebel'!G8="",""," — "&amp;'Korpus mebel'!G8))</f>
        <v/>
      </c>
      <c r="H38" s="46" t="str">
        <f>IF('Korpus hisob'!H11=0,"",'Korpus mebel'!H10&amp;"×"&amp;'Korpus mebel'!H12&amp;"×"&amp;'Korpus mebel'!H11&amp;" sm, "&amp;IF('Korpus hisob'!H15=0,"eshiksiz",'Korpus hisob'!H15&amp;" ta "&amp;IF('Korpus hisob'!H13=1,"kupe","oddiy")&amp;" eshik")&amp;IF('Korpus hisob'!H16&gt;0,", "&amp;'Korpus hisob'!H16&amp;" oyna","")&amp;", "&amp;IF(AND('Korpus mebel'!H22="Krasheniy",'Korpus mebel'!H23="Krasheniy"),"to'liq krasheniy",IF('Korpus mebel'!H22="Krasheniy","yuzi krasheniy",IF('Korpus mebel'!H23="Krasheniy","yoni krasheniy","laminat")))&amp;IF('Korpus mebel'!H8="",""," — "&amp;'Korpus mebel'!H8))</f>
        <v/>
      </c>
    </row>
    <row r="40" spans="1:9" x14ac:dyDescent="0.25">
      <c r="A40" s="22" t="str">
        <f>IF(kor_miss&gt;0,"Korpus mebel: "&amp;kor_miss&amp;" ta kerakli xom ashyoning narxi yo'q (Laminat/Krasheniy xom ashyo varag'i)","")</f>
        <v>Korpus mebel: 5 ta kerakli xom ashyoning narxi yo'q (Laminat/Krasheniy xom ashyo varag'i)</v>
      </c>
    </row>
    <row r="41" spans="1:9" x14ac:dyDescent="0.25">
      <c r="A41" s="22" t="str">
        <f>IF(usta_foiz_k=0,"Korpus mebel: usta tanlanmagan yoki kelishuv foizi 0%","")</f>
        <v>Korpus mebel: usta tanlanmagan yoki kelishuv foizi 0%</v>
      </c>
    </row>
    <row r="42" spans="1:9" x14ac:dyDescent="0.25">
      <c r="A42" s="22" t="str">
        <f>IF(ustama_korpus=0,"Korpus mebel: Baraka ustamasi 0% (Sozlamalar)","")</f>
        <v>Korpus mebel: Baraka ustamasi 0% (Sozlamalar)</v>
      </c>
    </row>
  </sheetData>
  <sheetProtection sheet="1" formatCells="0" formatColumns="0" formatRows="0"/>
  <dataValidations count="13">
    <dataValidation type="list" allowBlank="1" sqref="C4">
      <formula1>usta_royxat</formula1>
      <formula2>0</formula2>
    </dataValidation>
    <dataValidation type="list" allowBlank="1" showErrorMessage="1" errorTitle="Noto'g'ri qiymat" error="Ro'yxatdan tanlang" sqref="C7:H7">
      <formula1>"Shkaf,Prixojka,Garderob,Boshqa"</formula1>
      <formula2>0</formula2>
    </dataValidation>
    <dataValidation type="whole" allowBlank="1" showErrorMessage="1" errorTitle="Noto'g'ri qiymat" error="0 dan 20 gacha son kiriting" sqref="C9:H9 C15:H16 C19:H19">
      <formula1>0</formula1>
      <formula2>20</formula2>
    </dataValidation>
    <dataValidation type="decimal" allowBlank="1" showErrorMessage="1" errorTitle="Noto'g'ri qiymat" error="20 dan 800 gacha son kiriting" sqref="C10:H10">
      <formula1>20</formula1>
      <formula2>800</formula2>
    </dataValidation>
    <dataValidation type="decimal" allowBlank="1" showErrorMessage="1" errorTitle="Noto'g'ri qiymat" error="20 dan 320 gacha son kiriting" sqref="C11:H11">
      <formula1>20</formula1>
      <formula2>320</formula2>
    </dataValidation>
    <dataValidation type="decimal" allowBlank="1" showErrorMessage="1" errorTitle="Noto'g'ri qiymat" error="20 dan 120 gacha son kiriting" sqref="C12:H12">
      <formula1>20</formula1>
      <formula2>120</formula2>
    </dataValidation>
    <dataValidation type="whole" allowBlank="1" showErrorMessage="1" errorTitle="Noto'g'ri qiymat" error="1 dan 20 gacha son kiriting" sqref="C13:H13">
      <formula1>1</formula1>
      <formula2>20</formula2>
    </dataValidation>
    <dataValidation type="list" allowBlank="1" showErrorMessage="1" errorTitle="Noto'g'ri qiymat" error="Ro'yxatdan tanlang" sqref="C14:H14">
      <formula1>"Oddiy,Kupe,Eshiksiz"</formula1>
      <formula2>0</formula2>
    </dataValidation>
    <dataValidation type="whole" allowBlank="1" showErrorMessage="1" errorTitle="Noto'g'ri qiymat" error="0 dan 100 gacha son kiriting" sqref="C17:H17">
      <formula1>0</formula1>
      <formula2>100</formula2>
    </dataValidation>
    <dataValidation type="whole" allowBlank="1" showErrorMessage="1" errorTitle="Noto'g'ri qiymat" error="0 dan 30 gacha son kiriting" sqref="C18:H18">
      <formula1>0</formula1>
      <formula2>30</formula2>
    </dataValidation>
    <dataValidation type="whole" allowBlank="1" showErrorMessage="1" errorTitle="Noto'g'ri qiymat" error="0 dan 50 gacha son kiriting" sqref="C20:H20">
      <formula1>0</formula1>
      <formula2>50</formula2>
    </dataValidation>
    <dataValidation type="list" allowBlank="1" showErrorMessage="1" errorTitle="Noto'g'ri qiymat" error="Ro'yxatdan tanlang" sqref="C21:H21">
      <formula1>"Ha,Yo'q"</formula1>
      <formula2>0</formula2>
    </dataValidation>
    <dataValidation type="list" allowBlank="1" showErrorMessage="1" errorTitle="Noto'g'ri qiymat" error="Ro'yxatdan tanlang" sqref="C22:H23">
      <formula1>"Laminat,Krasheniy"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7" customWidth="1"/>
    <col min="3" max="3" width="33" customWidth="1"/>
    <col min="4" max="4" width="10" customWidth="1"/>
    <col min="5" max="5" width="15" customWidth="1"/>
    <col min="6" max="6" width="17" customWidth="1"/>
    <col min="8" max="8" width="13" hidden="1" customWidth="1"/>
  </cols>
  <sheetData>
    <row r="1" spans="1:8" ht="23.25" x14ac:dyDescent="0.35">
      <c r="A1" s="47" t="str">
        <f>kompaniya_nomi</f>
        <v>BARAKA MEBEL</v>
      </c>
    </row>
    <row r="2" spans="1:8" x14ac:dyDescent="0.25">
      <c r="A2" s="48" t="str">
        <f>IF(kompaniya_kontakt="","",kompaniya_kontakt)</f>
        <v/>
      </c>
      <c r="B2" s="49"/>
      <c r="C2" s="49"/>
      <c r="D2" s="49"/>
      <c r="E2" s="49"/>
      <c r="F2" s="49"/>
    </row>
    <row r="4" spans="1:8" ht="16.5" x14ac:dyDescent="0.25">
      <c r="A4" s="50" t="s">
        <v>163</v>
      </c>
    </row>
    <row r="6" spans="1:8" x14ac:dyDescent="0.25">
      <c r="B6" s="16" t="s">
        <v>164</v>
      </c>
      <c r="C6" s="51" t="str">
        <f>IF(p_mijoz="","",p_mijoz)</f>
        <v/>
      </c>
      <c r="E6" s="52" t="s">
        <v>165</v>
      </c>
      <c r="F6" s="51" t="str">
        <f>IF(p_tel="","",p_tel)</f>
        <v/>
      </c>
    </row>
    <row r="7" spans="1:8" x14ac:dyDescent="0.25">
      <c r="B7" s="16" t="s">
        <v>166</v>
      </c>
      <c r="C7" s="51" t="str">
        <f>IF(p_sotuvchi="","",p_sotuvchi)</f>
        <v/>
      </c>
      <c r="E7" s="52" t="s">
        <v>167</v>
      </c>
      <c r="F7" s="53">
        <f ca="1">IF(p_sana="","",p_sana)</f>
        <v>46314</v>
      </c>
    </row>
    <row r="8" spans="1:8" x14ac:dyDescent="0.25">
      <c r="B8" s="16" t="str">
        <f>IF(p_filial="","","Filial:")</f>
        <v/>
      </c>
      <c r="C8" s="51" t="str">
        <f>IF(p_filial="","",p_filial)</f>
        <v/>
      </c>
    </row>
    <row r="10" spans="1:8" ht="15.75" x14ac:dyDescent="0.25">
      <c r="A10" s="17" t="s">
        <v>168</v>
      </c>
    </row>
    <row r="11" spans="1:8" ht="21.75" customHeight="1" x14ac:dyDescent="0.25">
      <c r="A11" s="6" t="s">
        <v>100</v>
      </c>
      <c r="B11" s="6" t="s">
        <v>41</v>
      </c>
      <c r="C11" s="6" t="s">
        <v>87</v>
      </c>
      <c r="D11" s="6" t="s">
        <v>169</v>
      </c>
      <c r="E11" s="6" t="s">
        <v>170</v>
      </c>
      <c r="F11" s="6" t="s">
        <v>171</v>
      </c>
    </row>
    <row r="12" spans="1:8" ht="25.5" customHeight="1" x14ac:dyDescent="0.25">
      <c r="A12" s="54">
        <f>IF($H12="","",1)</f>
        <v>1</v>
      </c>
      <c r="B12" s="55" t="str">
        <f>IF($H12="","",INDEX('Ro''yxat'!$B$4:$B$24,$H12))</f>
        <v>Shkaf</v>
      </c>
      <c r="C12" s="56" t="str">
        <f>IF($H12="","",INDEX('Ro''yxat'!$C$4:$C$24,$H12))</f>
        <v>240×60×220 sm, 6 eshik, 2 oyna, laminat</v>
      </c>
      <c r="D12" s="54" t="str">
        <f>IF($H12="","",INDEX('Ro''yxat'!$D$4:$D$24,$H12))</f>
        <v>1 dona</v>
      </c>
      <c r="E12" s="57">
        <f>IF($H12="","",INDEX('Ro''yxat'!$E$4:$E$24,$H12))</f>
        <v>3060000</v>
      </c>
      <c r="F12" s="58">
        <f>IF($H12="","",INDEX('Ro''yxat'!$F$4:$F$24,$H12))</f>
        <v>3060000</v>
      </c>
      <c r="H12" s="51">
        <f>IFERROR(MATCH(1,'Ro''yxat'!$H$4:$H$24,0),"")</f>
        <v>1</v>
      </c>
    </row>
    <row r="13" spans="1:8" ht="25.5" customHeight="1" x14ac:dyDescent="0.25">
      <c r="A13" s="54">
        <f>IF($H13="","",2)</f>
        <v>2</v>
      </c>
      <c r="B13" s="55" t="str">
        <f>IF($H13="","",INDEX('Ro''yxat'!$B$4:$B$24,$H13))</f>
        <v>Krovat</v>
      </c>
      <c r="C13" s="56" t="str">
        <f>IF($H13="","",INDEX('Ro''yxat'!$C$4:$C$24,$H13))</f>
        <v>170×220 sm, spinka 150 sm, figurali, oddiy kapot</v>
      </c>
      <c r="D13" s="54" t="str">
        <f>IF($H13="","",INDEX('Ro''yxat'!$D$4:$D$24,$H13))</f>
        <v>1 dona</v>
      </c>
      <c r="E13" s="57">
        <f>IF($H13="","",INDEX('Ro''yxat'!$E$4:$E$24,$H13))</f>
        <v>1183000</v>
      </c>
      <c r="F13" s="58">
        <f>IF($H13="","",INDEX('Ro''yxat'!$F$4:$F$24,$H13))</f>
        <v>1183000</v>
      </c>
      <c r="H13" s="51">
        <f>IFERROR(MATCH(2,'Ro''yxat'!$H$4:$H$24,0),"")</f>
        <v>2</v>
      </c>
    </row>
    <row r="14" spans="1:8" ht="25.5" customHeight="1" x14ac:dyDescent="0.25">
      <c r="A14" s="54">
        <f>IF($H14="","",3)</f>
        <v>3</v>
      </c>
      <c r="B14" s="55" t="str">
        <f>IF($H14="","",INDEX('Ro''yxat'!$B$4:$B$24,$H14))</f>
        <v>Matras</v>
      </c>
      <c r="C14" s="56" t="str">
        <f>IF($H14="","",INDEX('Ro''yxat'!$C$4:$C$24,$H14))</f>
        <v>180x200 sm</v>
      </c>
      <c r="D14" s="54" t="str">
        <f>IF($H14="","",INDEX('Ro''yxat'!$D$4:$D$24,$H14))</f>
        <v>1 dona</v>
      </c>
      <c r="E14" s="57">
        <f>IF($H14="","",INDEX('Ro''yxat'!$E$4:$E$24,$H14))</f>
        <v>1200000</v>
      </c>
      <c r="F14" s="58">
        <f>IF($H14="","",INDEX('Ro''yxat'!$F$4:$F$24,$H14))</f>
        <v>1200000</v>
      </c>
      <c r="H14" s="51">
        <f>IFERROR(MATCH(3,'Ro''yxat'!$H$4:$H$24,0),"")</f>
        <v>3</v>
      </c>
    </row>
    <row r="15" spans="1:8" ht="25.5" customHeight="1" x14ac:dyDescent="0.25">
      <c r="A15" s="54">
        <f>IF($H15="","",4)</f>
        <v>4</v>
      </c>
      <c r="B15" s="55" t="str">
        <f>IF($H15="","",INDEX('Ro''yxat'!$B$4:$B$24,$H15))</f>
        <v>Tumbochka</v>
      </c>
      <c r="C15" s="56" t="str">
        <f>IF($H15="","",INDEX('Ro''yxat'!$C$4:$C$24,$H15))</f>
        <v>50×40×60 sm, 2 yashik, laminat</v>
      </c>
      <c r="D15" s="54" t="str">
        <f>IF($H15="","",INDEX('Ro''yxat'!$D$4:$D$24,$H15))</f>
        <v>1 dona</v>
      </c>
      <c r="E15" s="57">
        <f>IF($H15="","",INDEX('Ro''yxat'!$E$4:$E$24,$H15))</f>
        <v>579000</v>
      </c>
      <c r="F15" s="58">
        <f>IF($H15="","",INDEX('Ro''yxat'!$F$4:$F$24,$H15))</f>
        <v>579000</v>
      </c>
      <c r="H15" s="51">
        <f>IFERROR(MATCH(4,'Ro''yxat'!$H$4:$H$24,0),"")</f>
        <v>4</v>
      </c>
    </row>
    <row r="16" spans="1:8" ht="25.5" customHeight="1" x14ac:dyDescent="0.25">
      <c r="A16" s="54">
        <f>IF($H16="","",5)</f>
        <v>5</v>
      </c>
      <c r="B16" s="55" t="str">
        <f>IF($H16="","",INDEX('Ro''yxat'!$B$4:$B$24,$H16))</f>
        <v>Trimo</v>
      </c>
      <c r="C16" s="56" t="str">
        <f>IF($H16="","",INDEX('Ro''yxat'!$C$4:$C$24,$H16))</f>
        <v>160×45×83 sm, laminat</v>
      </c>
      <c r="D16" s="54" t="str">
        <f>IF($H16="","",INDEX('Ro''yxat'!$D$4:$D$24,$H16))</f>
        <v>1 dona</v>
      </c>
      <c r="E16" s="57">
        <f>IF($H16="","",INDEX('Ro''yxat'!$E$4:$E$24,$H16))</f>
        <v>1383000</v>
      </c>
      <c r="F16" s="58">
        <f>IF($H16="","",INDEX('Ro''yxat'!$F$4:$F$24,$H16))</f>
        <v>1383000</v>
      </c>
      <c r="H16" s="51">
        <f>IFERROR(MATCH(5,'Ro''yxat'!$H$4:$H$24,0),"")</f>
        <v>5</v>
      </c>
    </row>
    <row r="17" spans="1:8" ht="25.5" customHeight="1" x14ac:dyDescent="0.25">
      <c r="A17" s="54">
        <f>IF($H17="","",6)</f>
        <v>6</v>
      </c>
      <c r="B17" s="55" t="str">
        <f>IF($H17="","",INDEX('Ro''yxat'!$B$4:$B$24,$H17))</f>
        <v>Chester</v>
      </c>
      <c r="C17" s="56" t="str">
        <f>IF($H17="","",INDEX('Ro''yxat'!$C$4:$C$24,$H17))</f>
        <v>80×50×100 sm, 4 yashik, laminat</v>
      </c>
      <c r="D17" s="54" t="str">
        <f>IF($H17="","",INDEX('Ro''yxat'!$D$4:$D$24,$H17))</f>
        <v>1 dona</v>
      </c>
      <c r="E17" s="57">
        <f>IF($H17="","",INDEX('Ro''yxat'!$E$4:$E$24,$H17))</f>
        <v>1302000</v>
      </c>
      <c r="F17" s="58">
        <f>IF($H17="","",INDEX('Ro''yxat'!$F$4:$F$24,$H17))</f>
        <v>1302000</v>
      </c>
      <c r="H17" s="51">
        <f>IFERROR(MATCH(6,'Ro''yxat'!$H$4:$H$24,0),"")</f>
        <v>6</v>
      </c>
    </row>
    <row r="18" spans="1:8" ht="25.5" customHeight="1" x14ac:dyDescent="0.25">
      <c r="A18" s="54">
        <f>IF($H18="","",7)</f>
        <v>7</v>
      </c>
      <c r="B18" s="55" t="str">
        <f>IF($H18="","",INDEX('Ro''yxat'!$B$4:$B$24,$H18))</f>
        <v>Pufik</v>
      </c>
      <c r="C18" s="56" t="str">
        <f>IF($H18="","",INDEX('Ro''yxat'!$C$4:$C$24,$H18))</f>
        <v>40×40×45 sm</v>
      </c>
      <c r="D18" s="54" t="str">
        <f>IF($H18="","",INDEX('Ro''yxat'!$D$4:$D$24,$H18))</f>
        <v>1 dona</v>
      </c>
      <c r="E18" s="57">
        <f>IF($H18="","",INDEX('Ro''yxat'!$E$4:$E$24,$H18))</f>
        <v>186000</v>
      </c>
      <c r="F18" s="58">
        <f>IF($H18="","",INDEX('Ro''yxat'!$F$4:$F$24,$H18))</f>
        <v>186000</v>
      </c>
      <c r="H18" s="51">
        <f>IFERROR(MATCH(7,'Ro''yxat'!$H$4:$H$24,0),"")</f>
        <v>7</v>
      </c>
    </row>
    <row r="19" spans="1:8" ht="25.5" customHeight="1" x14ac:dyDescent="0.25">
      <c r="A19" s="54">
        <f>IF($H19="","",8)</f>
        <v>8</v>
      </c>
      <c r="B19" s="55" t="str">
        <f>IF($H19="","",INDEX('Ro''yxat'!$B$4:$B$24,$H19))</f>
        <v>Stoyka oyna</v>
      </c>
      <c r="C19" s="56" t="str">
        <f>IF($H19="","",INDEX('Ro''yxat'!$C$4:$C$24,$H19))</f>
        <v>160×50 sm</v>
      </c>
      <c r="D19" s="54" t="str">
        <f>IF($H19="","",INDEX('Ro''yxat'!$D$4:$D$24,$H19))</f>
        <v>1 dona</v>
      </c>
      <c r="E19" s="57">
        <f>IF($H19="","",INDEX('Ro''yxat'!$E$4:$E$24,$H19))</f>
        <v>412000</v>
      </c>
      <c r="F19" s="58">
        <f>IF($H19="","",INDEX('Ro''yxat'!$F$4:$F$24,$H19))</f>
        <v>412000</v>
      </c>
      <c r="H19" s="51">
        <f>IFERROR(MATCH(8,'Ro''yxat'!$H$4:$H$24,0),"")</f>
        <v>8</v>
      </c>
    </row>
    <row r="20" spans="1:8" ht="25.5" customHeight="1" x14ac:dyDescent="0.25">
      <c r="A20" s="54">
        <f>IF($H20="","",9)</f>
        <v>9</v>
      </c>
      <c r="B20" s="55" t="str">
        <f>IF($H20="","",INDEX('Ro''yxat'!$B$4:$B$24,$H20))</f>
        <v>Qadoqlash</v>
      </c>
      <c r="C20" s="56" t="str">
        <f>IF($H20="","",INDEX('Ro''yxat'!$C$4:$C$24,$H20))</f>
        <v>Butun buyurtma uchun</v>
      </c>
      <c r="D20" s="54" t="str">
        <f>IF($H20="","",INDEX('Ro''yxat'!$D$4:$D$24,$H20))</f>
        <v>1 dona</v>
      </c>
      <c r="E20" s="57">
        <f>IF($H20="","",INDEX('Ro''yxat'!$E$4:$E$24,$H20))</f>
        <v>355000</v>
      </c>
      <c r="F20" s="58">
        <f>IF($H20="","",INDEX('Ro''yxat'!$F$4:$F$24,$H20))</f>
        <v>355000</v>
      </c>
      <c r="H20" s="51">
        <f>IFERROR(MATCH(9,'Ro''yxat'!$H$4:$H$24,0),"")</f>
        <v>9</v>
      </c>
    </row>
    <row r="21" spans="1:8" ht="25.5" customHeight="1" x14ac:dyDescent="0.25">
      <c r="A21" s="54" t="str">
        <f>IF($H21="","",10)</f>
        <v/>
      </c>
      <c r="B21" s="55" t="str">
        <f>IF($H21="","",INDEX('Ro''yxat'!$B$4:$B$24,$H21))</f>
        <v/>
      </c>
      <c r="C21" s="56" t="str">
        <f>IF($H21="","",INDEX('Ro''yxat'!$C$4:$C$24,$H21))</f>
        <v/>
      </c>
      <c r="D21" s="54" t="str">
        <f>IF($H21="","",INDEX('Ro''yxat'!$D$4:$D$24,$H21))</f>
        <v/>
      </c>
      <c r="E21" s="57" t="str">
        <f>IF($H21="","",INDEX('Ro''yxat'!$E$4:$E$24,$H21))</f>
        <v/>
      </c>
      <c r="F21" s="58" t="str">
        <f>IF($H21="","",INDEX('Ro''yxat'!$F$4:$F$24,$H21))</f>
        <v/>
      </c>
      <c r="H21" s="51" t="str">
        <f>IFERROR(MATCH(10,'Ro''yxat'!$H$4:$H$24,0),"")</f>
        <v/>
      </c>
    </row>
    <row r="22" spans="1:8" ht="25.5" customHeight="1" x14ac:dyDescent="0.25">
      <c r="A22" s="54" t="str">
        <f>IF($H22="","",11)</f>
        <v/>
      </c>
      <c r="B22" s="55" t="str">
        <f>IF($H22="","",INDEX('Ro''yxat'!$B$4:$B$24,$H22))</f>
        <v/>
      </c>
      <c r="C22" s="56" t="str">
        <f>IF($H22="","",INDEX('Ro''yxat'!$C$4:$C$24,$H22))</f>
        <v/>
      </c>
      <c r="D22" s="54" t="str">
        <f>IF($H22="","",INDEX('Ro''yxat'!$D$4:$D$24,$H22))</f>
        <v/>
      </c>
      <c r="E22" s="57" t="str">
        <f>IF($H22="","",INDEX('Ro''yxat'!$E$4:$E$24,$H22))</f>
        <v/>
      </c>
      <c r="F22" s="58" t="str">
        <f>IF($H22="","",INDEX('Ro''yxat'!$F$4:$F$24,$H22))</f>
        <v/>
      </c>
      <c r="H22" s="51" t="str">
        <f>IFERROR(MATCH(11,'Ro''yxat'!$H$4:$H$24,0),"")</f>
        <v/>
      </c>
    </row>
    <row r="23" spans="1:8" ht="25.5" customHeight="1" x14ac:dyDescent="0.25">
      <c r="A23" s="54" t="str">
        <f>IF($H23="","",12)</f>
        <v/>
      </c>
      <c r="B23" s="55" t="str">
        <f>IF($H23="","",INDEX('Ro''yxat'!$B$4:$B$24,$H23))</f>
        <v/>
      </c>
      <c r="C23" s="56" t="str">
        <f>IF($H23="","",INDEX('Ro''yxat'!$C$4:$C$24,$H23))</f>
        <v/>
      </c>
      <c r="D23" s="54" t="str">
        <f>IF($H23="","",INDEX('Ro''yxat'!$D$4:$D$24,$H23))</f>
        <v/>
      </c>
      <c r="E23" s="57" t="str">
        <f>IF($H23="","",INDEX('Ro''yxat'!$E$4:$E$24,$H23))</f>
        <v/>
      </c>
      <c r="F23" s="58" t="str">
        <f>IF($H23="","",INDEX('Ro''yxat'!$F$4:$F$24,$H23))</f>
        <v/>
      </c>
      <c r="H23" s="51" t="str">
        <f>IFERROR(MATCH(12,'Ro''yxat'!$H$4:$H$24,0),"")</f>
        <v/>
      </c>
    </row>
    <row r="24" spans="1:8" ht="25.5" customHeight="1" x14ac:dyDescent="0.25">
      <c r="A24" s="54" t="str">
        <f>IF($H24="","",13)</f>
        <v/>
      </c>
      <c r="B24" s="55" t="str">
        <f>IF($H24="","",INDEX('Ro''yxat'!$B$4:$B$24,$H24))</f>
        <v/>
      </c>
      <c r="C24" s="56" t="str">
        <f>IF($H24="","",INDEX('Ro''yxat'!$C$4:$C$24,$H24))</f>
        <v/>
      </c>
      <c r="D24" s="54" t="str">
        <f>IF($H24="","",INDEX('Ro''yxat'!$D$4:$D$24,$H24))</f>
        <v/>
      </c>
      <c r="E24" s="57" t="str">
        <f>IF($H24="","",INDEX('Ro''yxat'!$E$4:$E$24,$H24))</f>
        <v/>
      </c>
      <c r="F24" s="58" t="str">
        <f>IF($H24="","",INDEX('Ro''yxat'!$F$4:$F$24,$H24))</f>
        <v/>
      </c>
      <c r="H24" s="51" t="str">
        <f>IFERROR(MATCH(13,'Ro''yxat'!$H$4:$H$24,0),"")</f>
        <v/>
      </c>
    </row>
    <row r="25" spans="1:8" ht="25.5" customHeight="1" x14ac:dyDescent="0.25">
      <c r="A25" s="54" t="str">
        <f>IF($H25="","",14)</f>
        <v/>
      </c>
      <c r="B25" s="55" t="str">
        <f>IF($H25="","",INDEX('Ro''yxat'!$B$4:$B$24,$H25))</f>
        <v/>
      </c>
      <c r="C25" s="56" t="str">
        <f>IF($H25="","",INDEX('Ro''yxat'!$C$4:$C$24,$H25))</f>
        <v/>
      </c>
      <c r="D25" s="54" t="str">
        <f>IF($H25="","",INDEX('Ro''yxat'!$D$4:$D$24,$H25))</f>
        <v/>
      </c>
      <c r="E25" s="57" t="str">
        <f>IF($H25="","",INDEX('Ro''yxat'!$E$4:$E$24,$H25))</f>
        <v/>
      </c>
      <c r="F25" s="58" t="str">
        <f>IF($H25="","",INDEX('Ro''yxat'!$F$4:$F$24,$H25))</f>
        <v/>
      </c>
      <c r="H25" s="51" t="str">
        <f>IFERROR(MATCH(14,'Ro''yxat'!$H$4:$H$24,0),"")</f>
        <v/>
      </c>
    </row>
    <row r="26" spans="1:8" ht="25.5" customHeight="1" x14ac:dyDescent="0.25">
      <c r="A26" s="54" t="str">
        <f>IF($H26="","",15)</f>
        <v/>
      </c>
      <c r="B26" s="55" t="str">
        <f>IF($H26="","",INDEX('Ro''yxat'!$B$4:$B$24,$H26))</f>
        <v/>
      </c>
      <c r="C26" s="56" t="str">
        <f>IF($H26="","",INDEX('Ro''yxat'!$C$4:$C$24,$H26))</f>
        <v/>
      </c>
      <c r="D26" s="54" t="str">
        <f>IF($H26="","",INDEX('Ro''yxat'!$D$4:$D$24,$H26))</f>
        <v/>
      </c>
      <c r="E26" s="57" t="str">
        <f>IF($H26="","",INDEX('Ro''yxat'!$E$4:$E$24,$H26))</f>
        <v/>
      </c>
      <c r="F26" s="58" t="str">
        <f>IF($H26="","",INDEX('Ro''yxat'!$F$4:$F$24,$H26))</f>
        <v/>
      </c>
      <c r="H26" s="51" t="str">
        <f>IFERROR(MATCH(15,'Ro''yxat'!$H$4:$H$24,0),"")</f>
        <v/>
      </c>
    </row>
    <row r="27" spans="1:8" ht="25.5" customHeight="1" x14ac:dyDescent="0.25">
      <c r="A27" s="54" t="str">
        <f>IF($H27="","",16)</f>
        <v/>
      </c>
      <c r="B27" s="55" t="str">
        <f>IF($H27="","",INDEX('Ro''yxat'!$B$4:$B$24,$H27))</f>
        <v/>
      </c>
      <c r="C27" s="56" t="str">
        <f>IF($H27="","",INDEX('Ro''yxat'!$C$4:$C$24,$H27))</f>
        <v/>
      </c>
      <c r="D27" s="54" t="str">
        <f>IF($H27="","",INDEX('Ro''yxat'!$D$4:$D$24,$H27))</f>
        <v/>
      </c>
      <c r="E27" s="57" t="str">
        <f>IF($H27="","",INDEX('Ro''yxat'!$E$4:$E$24,$H27))</f>
        <v/>
      </c>
      <c r="F27" s="58" t="str">
        <f>IF($H27="","",INDEX('Ro''yxat'!$F$4:$F$24,$H27))</f>
        <v/>
      </c>
      <c r="H27" s="51" t="str">
        <f>IFERROR(MATCH(16,'Ro''yxat'!$H$4:$H$24,0),"")</f>
        <v/>
      </c>
    </row>
    <row r="28" spans="1:8" ht="21.75" customHeight="1" x14ac:dyDescent="0.25">
      <c r="A28" s="13"/>
      <c r="B28" s="12" t="str">
        <f>IF(chegirma_summa&gt;0,"JAMI","JAMI (naqd narx)")</f>
        <v>JAMI (naqd narx)</v>
      </c>
      <c r="C28" s="13"/>
      <c r="D28" s="13"/>
      <c r="E28" s="13"/>
      <c r="F28" s="14">
        <f>jami_sotuv</f>
        <v>9660000</v>
      </c>
    </row>
    <row r="29" spans="1:8" x14ac:dyDescent="0.25">
      <c r="B29" s="16" t="str">
        <f>IF(chegirma_summa&gt;0,"Chegirma ("&amp;TEXT(p_chegirma,"0%")&amp;")","")</f>
        <v/>
      </c>
      <c r="F29" s="59" t="str">
        <f>IF(chegirma_summa&gt;0,-chegirma_summa,"")</f>
        <v/>
      </c>
    </row>
    <row r="30" spans="1:8" ht="15.75" x14ac:dyDescent="0.25">
      <c r="B30" s="17" t="str">
        <f>IF(chegirma_summa&gt;0,"NAQD NARX (chegirma bilan)","")</f>
        <v/>
      </c>
      <c r="F30" s="60" t="str">
        <f>IF(chegirma_summa&gt;0,naqd_chegirma_bilan,"")</f>
        <v/>
      </c>
    </row>
    <row r="32" spans="1:8" ht="15.75" x14ac:dyDescent="0.25">
      <c r="A32" s="17" t="s">
        <v>172</v>
      </c>
    </row>
    <row r="33" spans="1:6" ht="18.75" customHeight="1" x14ac:dyDescent="0.25">
      <c r="B33" s="16" t="s">
        <v>173</v>
      </c>
      <c r="C33" s="16" t="str">
        <f>IF(tanlangan_oy=0,"Naqd to'lov","Muddatli to'lov — "&amp;tanlangan_oy&amp;" oy")</f>
        <v>Naqd to'lov</v>
      </c>
    </row>
    <row r="34" spans="1:6" ht="18.75" customHeight="1" x14ac:dyDescent="0.25">
      <c r="B34" s="16" t="str">
        <f>IF(tanlangan_oy=0,"To'lov summasi:","Oldindan to'lov:")</f>
        <v>To'lov summasi:</v>
      </c>
      <c r="C34" s="61">
        <f>IF(tanlangan_oy=0,naqd_narx,old_tolov)</f>
        <v>9660000</v>
      </c>
    </row>
    <row r="35" spans="1:6" ht="18.75" customHeight="1" x14ac:dyDescent="0.25">
      <c r="B35" s="16" t="str">
        <f>IF(tanlangan_oy=0,"","Oylik to'lov:")</f>
        <v/>
      </c>
      <c r="C35" s="17" t="str">
        <f>IF(tanlangan_oy=0,"",TEXT(tanlangan_oylik,"#,##0")&amp;" so'm × "&amp;tanlangan_oy&amp;" oy")</f>
        <v/>
      </c>
    </row>
    <row r="36" spans="1:6" ht="18.75" customHeight="1" x14ac:dyDescent="0.25">
      <c r="B36" s="16" t="str">
        <f>IF(tanlangan_oy=0,"","Jami to'lov:")</f>
        <v/>
      </c>
      <c r="C36" s="61" t="str">
        <f>IF(tanlangan_oy=0,"",tanlangan_jami)</f>
        <v/>
      </c>
    </row>
    <row r="38" spans="1:6" ht="15.75" x14ac:dyDescent="0.25">
      <c r="A38" s="17" t="s">
        <v>174</v>
      </c>
      <c r="C38" s="62" t="str">
        <f>"oldindan to'lov: "&amp;TEXT(old_tolov,"#,##0")&amp;" so'm"</f>
        <v>oldindan to'lov: ,0 so'm</v>
      </c>
    </row>
    <row r="39" spans="1:6" ht="21.75" customHeight="1" x14ac:dyDescent="0.25">
      <c r="A39" s="6"/>
      <c r="B39" s="6" t="s">
        <v>28</v>
      </c>
      <c r="C39" s="6" t="s">
        <v>34</v>
      </c>
      <c r="D39" s="6" t="s">
        <v>33</v>
      </c>
      <c r="E39" s="6" t="s">
        <v>175</v>
      </c>
      <c r="F39" s="6" t="s">
        <v>37</v>
      </c>
    </row>
    <row r="40" spans="1:6" ht="19.5" customHeight="1" x14ac:dyDescent="0.25">
      <c r="A40" s="25"/>
      <c r="B40" s="3" t="str">
        <f>Tariflar!A38</f>
        <v>Naqd</v>
      </c>
      <c r="C40" s="27" t="s">
        <v>176</v>
      </c>
      <c r="D40" s="27"/>
      <c r="E40" s="27" t="s">
        <v>176</v>
      </c>
      <c r="F40" s="10">
        <f>Tariflar!F38</f>
        <v>9660000</v>
      </c>
    </row>
    <row r="41" spans="1:6" ht="19.5" customHeight="1" x14ac:dyDescent="0.25">
      <c r="A41" s="25"/>
      <c r="B41" s="3" t="str">
        <f>Tariflar!A39</f>
        <v>3 oy</v>
      </c>
      <c r="C41" s="9">
        <f>Tariflar!E39</f>
        <v>3703000</v>
      </c>
      <c r="D41" s="27" t="str">
        <f>"× "&amp;Tariflar!B39</f>
        <v>× 3</v>
      </c>
      <c r="E41" s="9">
        <f>old_tolov</f>
        <v>0</v>
      </c>
      <c r="F41" s="10">
        <f>Tariflar!F39</f>
        <v>11109000</v>
      </c>
    </row>
    <row r="42" spans="1:6" ht="19.5" customHeight="1" x14ac:dyDescent="0.25">
      <c r="A42" s="25"/>
      <c r="B42" s="3" t="str">
        <f>Tariflar!A40</f>
        <v>6 oy</v>
      </c>
      <c r="C42" s="9">
        <f>Tariflar!E40</f>
        <v>1997000</v>
      </c>
      <c r="D42" s="27" t="str">
        <f>"× "&amp;Tariflar!B40</f>
        <v>× 6</v>
      </c>
      <c r="E42" s="9">
        <f>old_tolov</f>
        <v>0</v>
      </c>
      <c r="F42" s="10">
        <f>Tariflar!F40</f>
        <v>11982000</v>
      </c>
    </row>
    <row r="43" spans="1:6" ht="19.5" customHeight="1" x14ac:dyDescent="0.25">
      <c r="A43" s="25"/>
      <c r="B43" s="3" t="str">
        <f>Tariflar!A41</f>
        <v>12 oy</v>
      </c>
      <c r="C43" s="9">
        <f>Tariflar!E41</f>
        <v>1144000</v>
      </c>
      <c r="D43" s="27" t="str">
        <f>"× "&amp;Tariflar!B41</f>
        <v>× 12</v>
      </c>
      <c r="E43" s="9">
        <f>old_tolov</f>
        <v>0</v>
      </c>
      <c r="F43" s="10">
        <f>Tariflar!F41</f>
        <v>13728000</v>
      </c>
    </row>
    <row r="44" spans="1:6" ht="19.5" customHeight="1" x14ac:dyDescent="0.25">
      <c r="A44" s="25"/>
      <c r="B44" s="3" t="str">
        <f>Tariflar!A42</f>
        <v>18 oy</v>
      </c>
      <c r="C44" s="9">
        <f>Tariflar!E42</f>
        <v>856000</v>
      </c>
      <c r="D44" s="27" t="str">
        <f>"× "&amp;Tariflar!B42</f>
        <v>× 18</v>
      </c>
      <c r="E44" s="9">
        <f>old_tolov</f>
        <v>0</v>
      </c>
      <c r="F44" s="10">
        <f>Tariflar!F42</f>
        <v>15408000</v>
      </c>
    </row>
    <row r="46" spans="1:6" x14ac:dyDescent="0.25">
      <c r="A46" s="63" t="str">
        <f ca="1">"Narxlar "&amp;IF(p_sana="","",TEXT(p_sana,"dd.mm.yyyy"))&amp;" holatiga ko'ra hisoblangan. Yashil qator — tanlangan to'lov turi."</f>
        <v>Narxlar dd.mm.yyyy holatiga ko'ra hisoblangan. Yashil qator — tanlangan to'lov turi.</v>
      </c>
    </row>
    <row r="49" spans="2:5" x14ac:dyDescent="0.25">
      <c r="B49" s="51" t="s">
        <v>177</v>
      </c>
      <c r="E49" s="51" t="s">
        <v>178</v>
      </c>
    </row>
  </sheetData>
  <sheetProtection sheet="1"/>
  <conditionalFormatting sqref="A12:F27">
    <cfRule type="expression" dxfId="1" priority="2">
      <formula>$H12&lt;&gt;""</formula>
    </cfRule>
  </conditionalFormatting>
  <conditionalFormatting sqref="A40:F44">
    <cfRule type="expression" dxfId="0" priority="3">
      <formula>$B40=tanlangan_label</formula>
    </cfRule>
  </conditionalFormatting>
  <printOptions horizontalCentered="1"/>
  <pageMargins left="0.5" right="0.5" top="0.5" bottom="0.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7109375" defaultRowHeight="15" x14ac:dyDescent="0.25"/>
  <cols>
    <col min="1" max="1" width="5" customWidth="1"/>
    <col min="2" max="2" width="30" customWidth="1"/>
    <col min="3" max="3" width="18" customWidth="1"/>
    <col min="4" max="4" width="24" customWidth="1"/>
    <col min="5" max="5" width="30" customWidth="1"/>
    <col min="6" max="6" width="16" customWidth="1"/>
    <col min="7" max="7" width="14" customWidth="1"/>
    <col min="8" max="8" width="36" customWidth="1"/>
  </cols>
  <sheetData>
    <row r="1" spans="1:8" ht="18" x14ac:dyDescent="0.25">
      <c r="A1" s="1" t="s">
        <v>179</v>
      </c>
    </row>
    <row r="2" spans="1:8" x14ac:dyDescent="0.25">
      <c r="A2" s="2" t="s">
        <v>180</v>
      </c>
    </row>
    <row r="3" spans="1:8" x14ac:dyDescent="0.25">
      <c r="A3" s="2" t="s">
        <v>181</v>
      </c>
    </row>
    <row r="5" spans="1:8" ht="36" customHeight="1" x14ac:dyDescent="0.25">
      <c r="A5" s="6" t="s">
        <v>100</v>
      </c>
      <c r="B5" s="6" t="s">
        <v>182</v>
      </c>
      <c r="C5" s="6" t="s">
        <v>3</v>
      </c>
      <c r="D5" s="6" t="s">
        <v>183</v>
      </c>
      <c r="E5" s="6" t="s">
        <v>184</v>
      </c>
      <c r="F5" s="6" t="s">
        <v>185</v>
      </c>
      <c r="G5" s="6" t="s">
        <v>186</v>
      </c>
      <c r="H5" s="6" t="s">
        <v>110</v>
      </c>
    </row>
    <row r="6" spans="1:8" x14ac:dyDescent="0.25">
      <c r="A6" s="27">
        <v>1</v>
      </c>
      <c r="B6" s="64"/>
      <c r="C6" s="65"/>
      <c r="D6" s="65"/>
      <c r="E6" s="65"/>
      <c r="F6" s="66"/>
      <c r="G6" s="67"/>
      <c r="H6" s="65"/>
    </row>
    <row r="7" spans="1:8" x14ac:dyDescent="0.25">
      <c r="A7" s="27">
        <v>2</v>
      </c>
      <c r="B7" s="64"/>
      <c r="C7" s="65"/>
      <c r="D7" s="65"/>
      <c r="E7" s="65"/>
      <c r="F7" s="66"/>
      <c r="G7" s="67"/>
      <c r="H7" s="65"/>
    </row>
    <row r="8" spans="1:8" x14ac:dyDescent="0.25">
      <c r="A8" s="27">
        <v>3</v>
      </c>
      <c r="B8" s="64"/>
      <c r="C8" s="65"/>
      <c r="D8" s="65"/>
      <c r="E8" s="65"/>
      <c r="F8" s="66"/>
      <c r="G8" s="67"/>
      <c r="H8" s="65"/>
    </row>
    <row r="9" spans="1:8" x14ac:dyDescent="0.25">
      <c r="A9" s="27">
        <v>4</v>
      </c>
      <c r="B9" s="64"/>
      <c r="C9" s="65"/>
      <c r="D9" s="65"/>
      <c r="E9" s="65"/>
      <c r="F9" s="66"/>
      <c r="G9" s="67"/>
      <c r="H9" s="65"/>
    </row>
    <row r="10" spans="1:8" x14ac:dyDescent="0.25">
      <c r="A10" s="27">
        <v>5</v>
      </c>
      <c r="B10" s="64"/>
      <c r="C10" s="65"/>
      <c r="D10" s="65"/>
      <c r="E10" s="65"/>
      <c r="F10" s="66"/>
      <c r="G10" s="67"/>
      <c r="H10" s="65"/>
    </row>
    <row r="11" spans="1:8" x14ac:dyDescent="0.25">
      <c r="A11" s="27">
        <v>6</v>
      </c>
      <c r="B11" s="64"/>
      <c r="C11" s="65"/>
      <c r="D11" s="65"/>
      <c r="E11" s="65"/>
      <c r="F11" s="66"/>
      <c r="G11" s="67"/>
      <c r="H11" s="65"/>
    </row>
    <row r="12" spans="1:8" x14ac:dyDescent="0.25">
      <c r="A12" s="27">
        <v>7</v>
      </c>
      <c r="B12" s="64"/>
      <c r="C12" s="65"/>
      <c r="D12" s="65"/>
      <c r="E12" s="65"/>
      <c r="F12" s="66"/>
      <c r="G12" s="67"/>
      <c r="H12" s="65"/>
    </row>
    <row r="13" spans="1:8" x14ac:dyDescent="0.25">
      <c r="A13" s="27">
        <v>8</v>
      </c>
      <c r="B13" s="64"/>
      <c r="C13" s="65"/>
      <c r="D13" s="65"/>
      <c r="E13" s="65"/>
      <c r="F13" s="66"/>
      <c r="G13" s="67"/>
      <c r="H13" s="65"/>
    </row>
    <row r="14" spans="1:8" x14ac:dyDescent="0.25">
      <c r="A14" s="27">
        <v>9</v>
      </c>
      <c r="B14" s="64"/>
      <c r="C14" s="65"/>
      <c r="D14" s="65"/>
      <c r="E14" s="65"/>
      <c r="F14" s="66"/>
      <c r="G14" s="67"/>
      <c r="H14" s="65"/>
    </row>
    <row r="15" spans="1:8" x14ac:dyDescent="0.25">
      <c r="A15" s="27">
        <v>10</v>
      </c>
      <c r="B15" s="64"/>
      <c r="C15" s="65"/>
      <c r="D15" s="65"/>
      <c r="E15" s="65"/>
      <c r="F15" s="66"/>
      <c r="G15" s="67"/>
      <c r="H15" s="65"/>
    </row>
    <row r="16" spans="1:8" x14ac:dyDescent="0.25">
      <c r="A16" s="27">
        <v>11</v>
      </c>
      <c r="B16" s="64"/>
      <c r="C16" s="65"/>
      <c r="D16" s="65"/>
      <c r="E16" s="65"/>
      <c r="F16" s="66"/>
      <c r="G16" s="67"/>
      <c r="H16" s="65"/>
    </row>
    <row r="17" spans="1:8" x14ac:dyDescent="0.25">
      <c r="A17" s="27">
        <v>12</v>
      </c>
      <c r="B17" s="64"/>
      <c r="C17" s="65"/>
      <c r="D17" s="65"/>
      <c r="E17" s="65"/>
      <c r="F17" s="66"/>
      <c r="G17" s="67"/>
      <c r="H17" s="65"/>
    </row>
    <row r="18" spans="1:8" x14ac:dyDescent="0.25">
      <c r="A18" s="27">
        <v>13</v>
      </c>
      <c r="B18" s="64"/>
      <c r="C18" s="65"/>
      <c r="D18" s="65"/>
      <c r="E18" s="65"/>
      <c r="F18" s="66"/>
      <c r="G18" s="67"/>
      <c r="H18" s="65"/>
    </row>
    <row r="19" spans="1:8" x14ac:dyDescent="0.25">
      <c r="A19" s="27">
        <v>14</v>
      </c>
      <c r="B19" s="64"/>
      <c r="C19" s="65"/>
      <c r="D19" s="65"/>
      <c r="E19" s="65"/>
      <c r="F19" s="66"/>
      <c r="G19" s="67"/>
      <c r="H19" s="65"/>
    </row>
    <row r="20" spans="1:8" x14ac:dyDescent="0.25">
      <c r="A20" s="27">
        <v>15</v>
      </c>
      <c r="B20" s="64"/>
      <c r="C20" s="65"/>
      <c r="D20" s="65"/>
      <c r="E20" s="65"/>
      <c r="F20" s="66"/>
      <c r="G20" s="67"/>
      <c r="H20" s="65"/>
    </row>
    <row r="21" spans="1:8" x14ac:dyDescent="0.25">
      <c r="A21" s="27">
        <v>16</v>
      </c>
      <c r="B21" s="64"/>
      <c r="C21" s="65"/>
      <c r="D21" s="65"/>
      <c r="E21" s="65"/>
      <c r="F21" s="66"/>
      <c r="G21" s="67"/>
      <c r="H21" s="65"/>
    </row>
    <row r="22" spans="1:8" x14ac:dyDescent="0.25">
      <c r="A22" s="27">
        <v>17</v>
      </c>
      <c r="B22" s="64"/>
      <c r="C22" s="65"/>
      <c r="D22" s="65"/>
      <c r="E22" s="65"/>
      <c r="F22" s="66"/>
      <c r="G22" s="67"/>
      <c r="H22" s="65"/>
    </row>
    <row r="23" spans="1:8" x14ac:dyDescent="0.25">
      <c r="A23" s="27">
        <v>18</v>
      </c>
      <c r="B23" s="64"/>
      <c r="C23" s="65"/>
      <c r="D23" s="65"/>
      <c r="E23" s="65"/>
      <c r="F23" s="66"/>
      <c r="G23" s="67"/>
      <c r="H23" s="65"/>
    </row>
    <row r="24" spans="1:8" x14ac:dyDescent="0.25">
      <c r="A24" s="27">
        <v>19</v>
      </c>
      <c r="B24" s="64"/>
      <c r="C24" s="65"/>
      <c r="D24" s="65"/>
      <c r="E24" s="65"/>
      <c r="F24" s="66"/>
      <c r="G24" s="67"/>
      <c r="H24" s="65"/>
    </row>
    <row r="25" spans="1:8" x14ac:dyDescent="0.25">
      <c r="A25" s="27">
        <v>20</v>
      </c>
      <c r="B25" s="64"/>
      <c r="C25" s="65"/>
      <c r="D25" s="65"/>
      <c r="E25" s="65"/>
      <c r="F25" s="66"/>
      <c r="G25" s="67"/>
      <c r="H25" s="65"/>
    </row>
    <row r="26" spans="1:8" x14ac:dyDescent="0.25">
      <c r="A26" s="27">
        <v>21</v>
      </c>
      <c r="B26" s="64"/>
      <c r="C26" s="65"/>
      <c r="D26" s="65"/>
      <c r="E26" s="65"/>
      <c r="F26" s="66"/>
      <c r="G26" s="67"/>
      <c r="H26" s="65"/>
    </row>
    <row r="27" spans="1:8" x14ac:dyDescent="0.25">
      <c r="A27" s="27">
        <v>22</v>
      </c>
      <c r="B27" s="64"/>
      <c r="C27" s="65"/>
      <c r="D27" s="65"/>
      <c r="E27" s="65"/>
      <c r="F27" s="66"/>
      <c r="G27" s="67"/>
      <c r="H27" s="65"/>
    </row>
    <row r="28" spans="1:8" x14ac:dyDescent="0.25">
      <c r="A28" s="27">
        <v>23</v>
      </c>
      <c r="B28" s="64"/>
      <c r="C28" s="65"/>
      <c r="D28" s="65"/>
      <c r="E28" s="65"/>
      <c r="F28" s="66"/>
      <c r="G28" s="67"/>
      <c r="H28" s="65"/>
    </row>
    <row r="29" spans="1:8" x14ac:dyDescent="0.25">
      <c r="A29" s="27">
        <v>24</v>
      </c>
      <c r="B29" s="64"/>
      <c r="C29" s="65"/>
      <c r="D29" s="65"/>
      <c r="E29" s="65"/>
      <c r="F29" s="66"/>
      <c r="G29" s="67"/>
      <c r="H29" s="65"/>
    </row>
    <row r="30" spans="1:8" x14ac:dyDescent="0.25">
      <c r="A30" s="27">
        <v>25</v>
      </c>
      <c r="B30" s="64"/>
      <c r="C30" s="65"/>
      <c r="D30" s="65"/>
      <c r="E30" s="65"/>
      <c r="F30" s="66"/>
      <c r="G30" s="67"/>
      <c r="H30" s="65"/>
    </row>
    <row r="31" spans="1:8" x14ac:dyDescent="0.25">
      <c r="A31" s="27">
        <v>26</v>
      </c>
      <c r="B31" s="64"/>
      <c r="C31" s="65"/>
      <c r="D31" s="65"/>
      <c r="E31" s="65"/>
      <c r="F31" s="66"/>
      <c r="G31" s="67"/>
      <c r="H31" s="65"/>
    </row>
    <row r="32" spans="1:8" x14ac:dyDescent="0.25">
      <c r="A32" s="27">
        <v>27</v>
      </c>
      <c r="B32" s="64"/>
      <c r="C32" s="65"/>
      <c r="D32" s="65"/>
      <c r="E32" s="65"/>
      <c r="F32" s="66"/>
      <c r="G32" s="67"/>
      <c r="H32" s="65"/>
    </row>
    <row r="33" spans="1:8" x14ac:dyDescent="0.25">
      <c r="A33" s="27">
        <v>28</v>
      </c>
      <c r="B33" s="64"/>
      <c r="C33" s="65"/>
      <c r="D33" s="65"/>
      <c r="E33" s="65"/>
      <c r="F33" s="66"/>
      <c r="G33" s="67"/>
      <c r="H33" s="65"/>
    </row>
    <row r="34" spans="1:8" x14ac:dyDescent="0.25">
      <c r="A34" s="27">
        <v>29</v>
      </c>
      <c r="B34" s="64"/>
      <c r="C34" s="65"/>
      <c r="D34" s="65"/>
      <c r="E34" s="65"/>
      <c r="F34" s="66"/>
      <c r="G34" s="67"/>
      <c r="H34" s="65"/>
    </row>
    <row r="35" spans="1:8" x14ac:dyDescent="0.25">
      <c r="A35" s="27">
        <v>30</v>
      </c>
      <c r="B35" s="64"/>
      <c r="C35" s="65"/>
      <c r="D35" s="65"/>
      <c r="E35" s="65"/>
      <c r="F35" s="66"/>
      <c r="G35" s="67"/>
      <c r="H35" s="65"/>
    </row>
    <row r="36" spans="1:8" x14ac:dyDescent="0.25">
      <c r="A36" s="27">
        <v>31</v>
      </c>
      <c r="B36" s="64"/>
      <c r="C36" s="65"/>
      <c r="D36" s="65"/>
      <c r="E36" s="65"/>
      <c r="F36" s="66"/>
      <c r="G36" s="67"/>
      <c r="H36" s="65"/>
    </row>
    <row r="37" spans="1:8" x14ac:dyDescent="0.25">
      <c r="A37" s="27">
        <v>32</v>
      </c>
      <c r="B37" s="64"/>
      <c r="C37" s="65"/>
      <c r="D37" s="65"/>
      <c r="E37" s="65"/>
      <c r="F37" s="66"/>
      <c r="G37" s="67"/>
      <c r="H37" s="65"/>
    </row>
    <row r="38" spans="1:8" x14ac:dyDescent="0.25">
      <c r="A38" s="27">
        <v>33</v>
      </c>
      <c r="B38" s="64"/>
      <c r="C38" s="65"/>
      <c r="D38" s="65"/>
      <c r="E38" s="65"/>
      <c r="F38" s="66"/>
      <c r="G38" s="67"/>
      <c r="H38" s="65"/>
    </row>
    <row r="39" spans="1:8" x14ac:dyDescent="0.25">
      <c r="A39" s="27">
        <v>34</v>
      </c>
      <c r="B39" s="64"/>
      <c r="C39" s="65"/>
      <c r="D39" s="65"/>
      <c r="E39" s="65"/>
      <c r="F39" s="66"/>
      <c r="G39" s="67"/>
      <c r="H39" s="65"/>
    </row>
    <row r="40" spans="1:8" x14ac:dyDescent="0.25">
      <c r="A40" s="27">
        <v>35</v>
      </c>
      <c r="B40" s="64"/>
      <c r="C40" s="65"/>
      <c r="D40" s="65"/>
      <c r="E40" s="65"/>
      <c r="F40" s="66"/>
      <c r="G40" s="67"/>
      <c r="H40" s="65"/>
    </row>
    <row r="41" spans="1:8" x14ac:dyDescent="0.25">
      <c r="A41" s="27">
        <v>36</v>
      </c>
      <c r="B41" s="64"/>
      <c r="C41" s="65"/>
      <c r="D41" s="65"/>
      <c r="E41" s="65"/>
      <c r="F41" s="66"/>
      <c r="G41" s="67"/>
      <c r="H41" s="65"/>
    </row>
    <row r="42" spans="1:8" x14ac:dyDescent="0.25">
      <c r="A42" s="27">
        <v>37</v>
      </c>
      <c r="B42" s="64"/>
      <c r="C42" s="65"/>
      <c r="D42" s="65"/>
      <c r="E42" s="65"/>
      <c r="F42" s="66"/>
      <c r="G42" s="67"/>
      <c r="H42" s="65"/>
    </row>
    <row r="43" spans="1:8" x14ac:dyDescent="0.25">
      <c r="A43" s="27">
        <v>38</v>
      </c>
      <c r="B43" s="64"/>
      <c r="C43" s="65"/>
      <c r="D43" s="65"/>
      <c r="E43" s="65"/>
      <c r="F43" s="66"/>
      <c r="G43" s="67"/>
      <c r="H43" s="65"/>
    </row>
    <row r="44" spans="1:8" x14ac:dyDescent="0.25">
      <c r="A44" s="27">
        <v>39</v>
      </c>
      <c r="B44" s="64"/>
      <c r="C44" s="65"/>
      <c r="D44" s="65"/>
      <c r="E44" s="65"/>
      <c r="F44" s="66"/>
      <c r="G44" s="67"/>
      <c r="H44" s="65"/>
    </row>
    <row r="45" spans="1:8" x14ac:dyDescent="0.25">
      <c r="A45" s="27">
        <v>40</v>
      </c>
      <c r="B45" s="64"/>
      <c r="C45" s="65"/>
      <c r="D45" s="65"/>
      <c r="E45" s="65"/>
      <c r="F45" s="66"/>
      <c r="G45" s="67"/>
      <c r="H45" s="65"/>
    </row>
    <row r="46" spans="1:8" x14ac:dyDescent="0.25">
      <c r="A46" s="27">
        <v>41</v>
      </c>
      <c r="B46" s="64"/>
      <c r="C46" s="65"/>
      <c r="D46" s="65"/>
      <c r="E46" s="65"/>
      <c r="F46" s="66"/>
      <c r="G46" s="67"/>
      <c r="H46" s="65"/>
    </row>
    <row r="47" spans="1:8" x14ac:dyDescent="0.25">
      <c r="A47" s="27">
        <v>42</v>
      </c>
      <c r="B47" s="64"/>
      <c r="C47" s="65"/>
      <c r="D47" s="65"/>
      <c r="E47" s="65"/>
      <c r="F47" s="66"/>
      <c r="G47" s="67"/>
      <c r="H47" s="65"/>
    </row>
    <row r="48" spans="1:8" x14ac:dyDescent="0.25">
      <c r="A48" s="27">
        <v>43</v>
      </c>
      <c r="B48" s="64"/>
      <c r="C48" s="65"/>
      <c r="D48" s="65"/>
      <c r="E48" s="65"/>
      <c r="F48" s="66"/>
      <c r="G48" s="67"/>
      <c r="H48" s="65"/>
    </row>
    <row r="49" spans="1:8" x14ac:dyDescent="0.25">
      <c r="A49" s="27">
        <v>44</v>
      </c>
      <c r="B49" s="64"/>
      <c r="C49" s="65"/>
      <c r="D49" s="65"/>
      <c r="E49" s="65"/>
      <c r="F49" s="66"/>
      <c r="G49" s="67"/>
      <c r="H49" s="65"/>
    </row>
    <row r="50" spans="1:8" x14ac:dyDescent="0.25">
      <c r="A50" s="27">
        <v>45</v>
      </c>
      <c r="B50" s="64"/>
      <c r="C50" s="65"/>
      <c r="D50" s="65"/>
      <c r="E50" s="65"/>
      <c r="F50" s="66"/>
      <c r="G50" s="67"/>
      <c r="H50" s="65"/>
    </row>
    <row r="51" spans="1:8" x14ac:dyDescent="0.25">
      <c r="A51" s="27">
        <v>46</v>
      </c>
      <c r="B51" s="64"/>
      <c r="C51" s="65"/>
      <c r="D51" s="65"/>
      <c r="E51" s="65"/>
      <c r="F51" s="66"/>
      <c r="G51" s="67"/>
      <c r="H51" s="65"/>
    </row>
    <row r="52" spans="1:8" x14ac:dyDescent="0.25">
      <c r="A52" s="27">
        <v>47</v>
      </c>
      <c r="B52" s="64"/>
      <c r="C52" s="65"/>
      <c r="D52" s="65"/>
      <c r="E52" s="65"/>
      <c r="F52" s="66"/>
      <c r="G52" s="67"/>
      <c r="H52" s="65"/>
    </row>
    <row r="53" spans="1:8" x14ac:dyDescent="0.25">
      <c r="A53" s="27">
        <v>48</v>
      </c>
      <c r="B53" s="64"/>
      <c r="C53" s="65"/>
      <c r="D53" s="65"/>
      <c r="E53" s="65"/>
      <c r="F53" s="66"/>
      <c r="G53" s="67"/>
      <c r="H53" s="65"/>
    </row>
    <row r="54" spans="1:8" x14ac:dyDescent="0.25">
      <c r="A54" s="27">
        <v>49</v>
      </c>
      <c r="B54" s="64"/>
      <c r="C54" s="65"/>
      <c r="D54" s="65"/>
      <c r="E54" s="65"/>
      <c r="F54" s="66"/>
      <c r="G54" s="67"/>
      <c r="H54" s="65"/>
    </row>
    <row r="55" spans="1:8" x14ac:dyDescent="0.25">
      <c r="A55" s="27">
        <v>50</v>
      </c>
      <c r="B55" s="64"/>
      <c r="C55" s="65"/>
      <c r="D55" s="65"/>
      <c r="E55" s="65"/>
      <c r="F55" s="66"/>
      <c r="G55" s="67"/>
      <c r="H55" s="65"/>
    </row>
  </sheetData>
  <dataValidations count="1">
    <dataValidation type="decimal" allowBlank="1" showErrorMessage="1" errorTitle="Noto'g'ri qiymat" error="0% dan 100% gacha kiriting (masalan: 18%)" sqref="F6:F55">
      <formula1>0</formula1>
      <formula2>1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2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ColWidth="8.7109375" defaultRowHeight="15" x14ac:dyDescent="0.25"/>
  <cols>
    <col min="1" max="1" width="5" customWidth="1"/>
    <col min="2" max="2" width="14" customWidth="1"/>
    <col min="3" max="3" width="44" customWidth="1"/>
    <col min="4" max="4" width="9" customWidth="1"/>
    <col min="5" max="14" width="11" customWidth="1"/>
    <col min="15" max="15" width="9" customWidth="1"/>
    <col min="16" max="16" width="11" customWidth="1"/>
    <col min="17" max="17" width="19" customWidth="1"/>
    <col min="18" max="18" width="13" customWidth="1"/>
    <col min="19" max="19" width="14" customWidth="1"/>
    <col min="20" max="20" width="15" customWidth="1"/>
    <col min="21" max="21" width="12" customWidth="1"/>
    <col min="22" max="22" width="50" customWidth="1"/>
  </cols>
  <sheetData>
    <row r="1" spans="1:22" ht="18" x14ac:dyDescent="0.25">
      <c r="A1" s="1" t="s">
        <v>187</v>
      </c>
    </row>
    <row r="2" spans="1:22" x14ac:dyDescent="0.25">
      <c r="A2" s="2" t="s">
        <v>188</v>
      </c>
    </row>
    <row r="3" spans="1:22" x14ac:dyDescent="0.25">
      <c r="C3" s="16" t="s">
        <v>86</v>
      </c>
      <c r="D3" s="30">
        <f>kurs_joriy</f>
        <v>11963</v>
      </c>
    </row>
    <row r="4" spans="1:22" ht="36" customHeight="1" x14ac:dyDescent="0.25">
      <c r="A4" s="6" t="s">
        <v>100</v>
      </c>
      <c r="B4" s="6" t="s">
        <v>189</v>
      </c>
      <c r="C4" s="6" t="s">
        <v>154</v>
      </c>
      <c r="D4" s="6" t="s">
        <v>44</v>
      </c>
      <c r="E4" s="6" t="s">
        <v>46</v>
      </c>
      <c r="F4" s="6" t="s">
        <v>58</v>
      </c>
      <c r="G4" s="6" t="s">
        <v>67</v>
      </c>
      <c r="H4" s="6" t="s">
        <v>74</v>
      </c>
      <c r="I4" s="6" t="s">
        <v>69</v>
      </c>
      <c r="J4" s="6" t="s">
        <v>77</v>
      </c>
      <c r="K4" s="6" t="s">
        <v>79</v>
      </c>
      <c r="L4" s="6" t="s">
        <v>81</v>
      </c>
      <c r="M4" s="6" t="s">
        <v>91</v>
      </c>
      <c r="N4" s="6" t="s">
        <v>190</v>
      </c>
      <c r="O4" s="6" t="s">
        <v>191</v>
      </c>
      <c r="P4" s="6" t="s">
        <v>192</v>
      </c>
      <c r="Q4" s="6" t="s">
        <v>193</v>
      </c>
      <c r="R4" s="6" t="s">
        <v>194</v>
      </c>
      <c r="S4" s="6" t="s">
        <v>195</v>
      </c>
      <c r="T4" s="6" t="s">
        <v>171</v>
      </c>
      <c r="U4" s="6" t="s">
        <v>196</v>
      </c>
      <c r="V4" s="6" t="s">
        <v>110</v>
      </c>
    </row>
    <row r="5" spans="1:22" x14ac:dyDescent="0.25">
      <c r="A5" s="27">
        <v>1</v>
      </c>
      <c r="B5" s="25" t="s">
        <v>197</v>
      </c>
      <c r="C5" s="25" t="s">
        <v>198</v>
      </c>
      <c r="D5" s="27" t="s">
        <v>199</v>
      </c>
      <c r="E5" s="68">
        <f>SUMIFS(Detallar!$I$5:$I$300,Detallar!$B$5:$B$300,E$4,Detallar!$D$5:$D$300,"LDSP 16mm")/(ldsp_L*ldsp_W/1000000)</f>
        <v>2.7726000690131123</v>
      </c>
      <c r="F5" s="68">
        <f>SUMIFS(Detallar!$I$5:$I$300,Detallar!$B$5:$B$300,F$4,Detallar!$D$5:$D$300,"LDSP 16mm")/(ldsp_L*ldsp_W/1000000)</f>
        <v>1.074223602484472</v>
      </c>
      <c r="G5" s="68">
        <f>SUMIFS(Detallar!$I$5:$I$300,Detallar!$B$5:$B$300,G$4,Detallar!$D$5:$D$300,"LDSP 16mm")/(ldsp_L*ldsp_W/1000000)</f>
        <v>0</v>
      </c>
      <c r="H5" s="68">
        <f>SUMIFS(Detallar!$I$5:$I$300,Detallar!$B$5:$B$300,H$4,Detallar!$D$5:$D$300,"LDSP 16mm")/(ldsp_L*ldsp_W/1000000)</f>
        <v>0.29118875086266388</v>
      </c>
      <c r="I5" s="68">
        <f>SUMIFS(Detallar!$I$5:$I$300,Detallar!$B$5:$B$300,I$4,Detallar!$D$5:$D$300,"LDSP 16mm")/(ldsp_L*ldsp_W/1000000)</f>
        <v>0.92537991718426515</v>
      </c>
      <c r="J5" s="68">
        <f>SUMIFS(Detallar!$I$5:$I$300,Detallar!$B$5:$B$300,J$4,Detallar!$D$5:$D$300,"LDSP 16mm")/(ldsp_L*ldsp_W/1000000)</f>
        <v>0.69172325741890961</v>
      </c>
      <c r="K5" s="68">
        <f>SUMIFS(Detallar!$I$5:$I$300,Detallar!$B$5:$B$300,K$4,Detallar!$D$5:$D$300,"LDSP 16mm")/(ldsp_L*ldsp_W/1000000)</f>
        <v>0.12035886818495514</v>
      </c>
      <c r="L5" s="68">
        <f>SUMIFS(Detallar!$I$5:$I$300,Detallar!$B$5:$B$300,L$4,Detallar!$D$5:$D$300,"LDSP 16mm")/(ldsp_L*ldsp_W/1000000)</f>
        <v>0.23809523809523805</v>
      </c>
      <c r="M5" s="68">
        <f>SUMIFS(Detallar!$I$5:$I$300,Detallar!$B$5:$B$300,M$4,Detallar!$D$5:$D$300,"LDSP 16mm")/(ldsp_L*ldsp_W/1000000)</f>
        <v>0</v>
      </c>
      <c r="N5" s="69">
        <f t="shared" ref="N5:N49" si="0">SUM(E5:M5)</f>
        <v>6.1135697032436163</v>
      </c>
      <c r="O5" s="70">
        <v>0.15</v>
      </c>
      <c r="P5" s="69">
        <f t="shared" ref="P5:P49" si="1">N5*(1+O5)</f>
        <v>7.0306051587301583</v>
      </c>
      <c r="Q5" s="71" t="s">
        <v>200</v>
      </c>
      <c r="R5" s="72">
        <v>400000</v>
      </c>
      <c r="S5" s="9">
        <f t="shared" ref="S5:S49" si="2">IF(Q5="Dollar",R5*kurs_joriy,IF(Q5="So'm (kursga bog'liq)",R5*kurs_joriy/kurs_baza,R5))</f>
        <v>400000</v>
      </c>
      <c r="T5" s="9">
        <f t="shared" ref="T5:T49" si="3">P5*S5</f>
        <v>2812242.0634920634</v>
      </c>
      <c r="U5" s="73">
        <f t="shared" ref="U5:U49" si="4">T5/kurs_joriy</f>
        <v>235.07833014227731</v>
      </c>
      <c r="V5" s="74" t="s">
        <v>201</v>
      </c>
    </row>
    <row r="6" spans="1:22" x14ac:dyDescent="0.25">
      <c r="A6" s="27">
        <v>2</v>
      </c>
      <c r="B6" s="25" t="s">
        <v>197</v>
      </c>
      <c r="C6" s="25" t="s">
        <v>202</v>
      </c>
      <c r="D6" s="27" t="s">
        <v>199</v>
      </c>
      <c r="E6" s="68">
        <f>SUMIFS(Detallar!$I$5:$I$300,Detallar!$B$5:$B$300,E$4,Detallar!$D$5:$D$300,"DSP 16mm (oddiy kapot)")/(dsp_L*dsp_W/1000000)</f>
        <v>0</v>
      </c>
      <c r="F6" s="68">
        <f>SUMIFS(Detallar!$I$5:$I$300,Detallar!$B$5:$B$300,F$4,Detallar!$D$5:$D$300,"DSP 16mm (oddiy kapot)")/(dsp_L*dsp_W/1000000)</f>
        <v>0.71685086934923004</v>
      </c>
      <c r="G6" s="68">
        <f>SUMIFS(Detallar!$I$5:$I$300,Detallar!$B$5:$B$300,G$4,Detallar!$D$5:$D$300,"DSP 16mm (oddiy kapot)")/(dsp_L*dsp_W/1000000)</f>
        <v>0</v>
      </c>
      <c r="H6" s="68">
        <f>SUMIFS(Detallar!$I$5:$I$300,Detallar!$B$5:$B$300,H$4,Detallar!$D$5:$D$300,"DSP 16mm (oddiy kapot)")/(dsp_L*dsp_W/1000000)</f>
        <v>0</v>
      </c>
      <c r="I6" s="68">
        <f>SUMIFS(Detallar!$I$5:$I$300,Detallar!$B$5:$B$300,I$4,Detallar!$D$5:$D$300,"DSP 16mm (oddiy kapot)")/(dsp_L*dsp_W/1000000)</f>
        <v>0</v>
      </c>
      <c r="J6" s="68">
        <f>SUMIFS(Detallar!$I$5:$I$300,Detallar!$B$5:$B$300,J$4,Detallar!$D$5:$D$300,"DSP 16mm (oddiy kapot)")/(dsp_L*dsp_W/1000000)</f>
        <v>0</v>
      </c>
      <c r="K6" s="68">
        <f>SUMIFS(Detallar!$I$5:$I$300,Detallar!$B$5:$B$300,K$4,Detallar!$D$5:$D$300,"DSP 16mm (oddiy kapot)")/(dsp_L*dsp_W/1000000)</f>
        <v>0</v>
      </c>
      <c r="L6" s="68">
        <f>SUMIFS(Detallar!$I$5:$I$300,Detallar!$B$5:$B$300,L$4,Detallar!$D$5:$D$300,"DSP 16mm (oddiy kapot)")/(dsp_L*dsp_W/1000000)</f>
        <v>0</v>
      </c>
      <c r="M6" s="68">
        <f>SUMIFS(Detallar!$I$5:$I$300,Detallar!$B$5:$B$300,M$4,Detallar!$D$5:$D$300,"DSP 16mm (oddiy kapot)")/(dsp_L*dsp_W/1000000)</f>
        <v>0</v>
      </c>
      <c r="N6" s="69">
        <f t="shared" si="0"/>
        <v>0.71685086934923004</v>
      </c>
      <c r="O6" s="70">
        <v>0.15</v>
      </c>
      <c r="P6" s="69">
        <f t="shared" si="1"/>
        <v>0.82437849975161448</v>
      </c>
      <c r="Q6" s="71" t="s">
        <v>200</v>
      </c>
      <c r="R6" s="72"/>
      <c r="S6" s="9">
        <f t="shared" si="2"/>
        <v>0</v>
      </c>
      <c r="T6" s="9">
        <f t="shared" si="3"/>
        <v>0</v>
      </c>
      <c r="U6" s="73">
        <f t="shared" si="4"/>
        <v>0</v>
      </c>
      <c r="V6" s="74" t="s">
        <v>203</v>
      </c>
    </row>
    <row r="7" spans="1:22" x14ac:dyDescent="0.25">
      <c r="A7" s="27">
        <v>3</v>
      </c>
      <c r="B7" s="25" t="s">
        <v>197</v>
      </c>
      <c r="C7" s="25" t="s">
        <v>204</v>
      </c>
      <c r="D7" s="27" t="s">
        <v>199</v>
      </c>
      <c r="E7" s="68">
        <f>SUMIFS(Detallar!$I$5:$I$300,Detallar!$B$5:$B$300,E$4,Detallar!$D$5:$D$300,"DSP 16mm (nasosli kapot)")/(dsp_L*dsp_W/1000000)</f>
        <v>0</v>
      </c>
      <c r="F7" s="68">
        <f>SUMIFS(Detallar!$I$5:$I$300,Detallar!$B$5:$B$300,F$4,Detallar!$D$5:$D$300,"DSP 16mm (nasosli kapot)")/(dsp_L*dsp_W/1000000)</f>
        <v>0</v>
      </c>
      <c r="G7" s="68">
        <f>SUMIFS(Detallar!$I$5:$I$300,Detallar!$B$5:$B$300,G$4,Detallar!$D$5:$D$300,"DSP 16mm (nasosli kapot)")/(dsp_L*dsp_W/1000000)</f>
        <v>0</v>
      </c>
      <c r="H7" s="68">
        <f>SUMIFS(Detallar!$I$5:$I$300,Detallar!$B$5:$B$300,H$4,Detallar!$D$5:$D$300,"DSP 16mm (nasosli kapot)")/(dsp_L*dsp_W/1000000)</f>
        <v>0</v>
      </c>
      <c r="I7" s="68">
        <f>SUMIFS(Detallar!$I$5:$I$300,Detallar!$B$5:$B$300,I$4,Detallar!$D$5:$D$300,"DSP 16mm (nasosli kapot)")/(dsp_L*dsp_W/1000000)</f>
        <v>0</v>
      </c>
      <c r="J7" s="68">
        <f>SUMIFS(Detallar!$I$5:$I$300,Detallar!$B$5:$B$300,J$4,Detallar!$D$5:$D$300,"DSP 16mm (nasosli kapot)")/(dsp_L*dsp_W/1000000)</f>
        <v>0</v>
      </c>
      <c r="K7" s="68">
        <f>SUMIFS(Detallar!$I$5:$I$300,Detallar!$B$5:$B$300,K$4,Detallar!$D$5:$D$300,"DSP 16mm (nasosli kapot)")/(dsp_L*dsp_W/1000000)</f>
        <v>0</v>
      </c>
      <c r="L7" s="68">
        <f>SUMIFS(Detallar!$I$5:$I$300,Detallar!$B$5:$B$300,L$4,Detallar!$D$5:$D$300,"DSP 16mm (nasosli kapot)")/(dsp_L*dsp_W/1000000)</f>
        <v>0</v>
      </c>
      <c r="M7" s="68">
        <f>SUMIFS(Detallar!$I$5:$I$300,Detallar!$B$5:$B$300,M$4,Detallar!$D$5:$D$300,"DSP 16mm (nasosli kapot)")/(dsp_L*dsp_W/1000000)</f>
        <v>0</v>
      </c>
      <c r="N7" s="69">
        <f t="shared" si="0"/>
        <v>0</v>
      </c>
      <c r="O7" s="70">
        <v>0.15</v>
      </c>
      <c r="P7" s="69">
        <f t="shared" si="1"/>
        <v>0</v>
      </c>
      <c r="Q7" s="71" t="s">
        <v>200</v>
      </c>
      <c r="R7" s="72"/>
      <c r="S7" s="9">
        <f t="shared" si="2"/>
        <v>0</v>
      </c>
      <c r="T7" s="9">
        <f t="shared" si="3"/>
        <v>0</v>
      </c>
      <c r="U7" s="73">
        <f t="shared" si="4"/>
        <v>0</v>
      </c>
      <c r="V7" s="74" t="s">
        <v>205</v>
      </c>
    </row>
    <row r="8" spans="1:22" x14ac:dyDescent="0.25">
      <c r="A8" s="27">
        <v>4</v>
      </c>
      <c r="B8" s="25" t="s">
        <v>197</v>
      </c>
      <c r="C8" s="25" t="s">
        <v>206</v>
      </c>
      <c r="D8" s="27" t="s">
        <v>199</v>
      </c>
      <c r="E8" s="68">
        <f>SUMIFS(Detallar!$I$5:$I$300,Detallar!$B$5:$B$300,E$4,Detallar!$D$5:$D$300,"DVP 3mm")/(dvp_L*dvp_W/1000000)</f>
        <v>1.123764705882353</v>
      </c>
      <c r="F8" s="68">
        <f>SUMIFS(Detallar!$I$5:$I$300,Detallar!$B$5:$B$300,F$4,Detallar!$D$5:$D$300,"DVP 3mm")/(dvp_L*dvp_W/1000000)</f>
        <v>0</v>
      </c>
      <c r="G8" s="68">
        <f>SUMIFS(Detallar!$I$5:$I$300,Detallar!$B$5:$B$300,G$4,Detallar!$D$5:$D$300,"DVP 3mm")/(dvp_L*dvp_W/1000000)</f>
        <v>0</v>
      </c>
      <c r="H8" s="68">
        <f>SUMIFS(Detallar!$I$5:$I$300,Detallar!$B$5:$B$300,H$4,Detallar!$D$5:$D$300,"DVP 3mm")/(dvp_L*dvp_W/1000000)</f>
        <v>0.12795028393871211</v>
      </c>
      <c r="I8" s="68">
        <f>SUMIFS(Detallar!$I$5:$I$300,Detallar!$B$5:$B$300,I$4,Detallar!$D$5:$D$300,"DVP 3mm")/(dvp_L*dvp_W/1000000)</f>
        <v>0.40200578592092573</v>
      </c>
      <c r="J8" s="68">
        <f>SUMIFS(Detallar!$I$5:$I$300,Detallar!$B$5:$B$300,J$4,Detallar!$D$5:$D$300,"DVP 3mm")/(dvp_L*dvp_W/1000000)</f>
        <v>0.45337619200685736</v>
      </c>
      <c r="K8" s="68">
        <f>SUMIFS(Detallar!$I$5:$I$300,Detallar!$B$5:$B$300,K$4,Detallar!$D$5:$D$300,"DVP 3mm")/(dvp_L*dvp_W/1000000)</f>
        <v>3.4286938819243544E-2</v>
      </c>
      <c r="L8" s="68">
        <f>SUMIFS(Detallar!$I$5:$I$300,Detallar!$B$5:$B$300,L$4,Detallar!$D$5:$D$300,"DVP 3mm")/(dvp_L*dvp_W/1000000)</f>
        <v>0</v>
      </c>
      <c r="M8" s="68">
        <f>SUMIFS(Detallar!$I$5:$I$300,Detallar!$B$5:$B$300,M$4,Detallar!$D$5:$D$300,"DVP 3mm")/(dvp_L*dvp_W/1000000)</f>
        <v>0</v>
      </c>
      <c r="N8" s="69">
        <f t="shared" si="0"/>
        <v>2.141383906568092</v>
      </c>
      <c r="O8" s="70">
        <v>0.15</v>
      </c>
      <c r="P8" s="69">
        <f t="shared" si="1"/>
        <v>2.4625914925533055</v>
      </c>
      <c r="Q8" s="71" t="s">
        <v>200</v>
      </c>
      <c r="R8" s="72">
        <v>190000</v>
      </c>
      <c r="S8" s="9">
        <f t="shared" si="2"/>
        <v>190000</v>
      </c>
      <c r="T8" s="9">
        <f t="shared" si="3"/>
        <v>467892.38358512806</v>
      </c>
      <c r="U8" s="73">
        <f t="shared" si="4"/>
        <v>39.111626146044308</v>
      </c>
      <c r="V8" s="74" t="s">
        <v>201</v>
      </c>
    </row>
    <row r="9" spans="1:22" x14ac:dyDescent="0.25">
      <c r="A9" s="27">
        <v>5</v>
      </c>
      <c r="B9" s="25" t="s">
        <v>197</v>
      </c>
      <c r="C9" s="25" t="s">
        <v>207</v>
      </c>
      <c r="D9" s="27" t="s">
        <v>152</v>
      </c>
      <c r="E9" s="68">
        <f>SUMIFS(Detallar!$I$5:$I$300,Detallar!$B$5:$B$300,E$4,Detallar!$D$5:$D$300,"Oyna 4mm")</f>
        <v>1.6</v>
      </c>
      <c r="F9" s="68">
        <f>SUMIFS(Detallar!$I$5:$I$300,Detallar!$B$5:$B$300,F$4,Detallar!$D$5:$D$300,"Oyna 4mm")</f>
        <v>0</v>
      </c>
      <c r="G9" s="68">
        <f>SUMIFS(Detallar!$I$5:$I$300,Detallar!$B$5:$B$300,G$4,Detallar!$D$5:$D$300,"Oyna 4mm")</f>
        <v>0</v>
      </c>
      <c r="H9" s="68">
        <f>SUMIFS(Detallar!$I$5:$I$300,Detallar!$B$5:$B$300,H$4,Detallar!$D$5:$D$300,"Oyna 4mm")</f>
        <v>0</v>
      </c>
      <c r="I9" s="68">
        <f>SUMIFS(Detallar!$I$5:$I$300,Detallar!$B$5:$B$300,I$4,Detallar!$D$5:$D$300,"Oyna 4mm")</f>
        <v>0</v>
      </c>
      <c r="J9" s="68">
        <f>SUMIFS(Detallar!$I$5:$I$300,Detallar!$B$5:$B$300,J$4,Detallar!$D$5:$D$300,"Oyna 4mm")</f>
        <v>0</v>
      </c>
      <c r="K9" s="68">
        <f>SUMIFS(Detallar!$I$5:$I$300,Detallar!$B$5:$B$300,K$4,Detallar!$D$5:$D$300,"Oyna 4mm")</f>
        <v>0</v>
      </c>
      <c r="L9" s="68">
        <f>SUMIFS(Detallar!$I$5:$I$300,Detallar!$B$5:$B$300,L$4,Detallar!$D$5:$D$300,"Oyna 4mm")</f>
        <v>0.8</v>
      </c>
      <c r="M9" s="68">
        <f>SUMIFS(Detallar!$I$5:$I$300,Detallar!$B$5:$B$300,M$4,Detallar!$D$5:$D$300,"Oyna 4mm")</f>
        <v>0</v>
      </c>
      <c r="N9" s="69">
        <f t="shared" si="0"/>
        <v>2.4000000000000004</v>
      </c>
      <c r="O9" s="70">
        <v>0</v>
      </c>
      <c r="P9" s="69">
        <f t="shared" si="1"/>
        <v>2.4000000000000004</v>
      </c>
      <c r="Q9" s="71" t="s">
        <v>200</v>
      </c>
      <c r="R9" s="72">
        <v>140000</v>
      </c>
      <c r="S9" s="9">
        <f t="shared" si="2"/>
        <v>140000</v>
      </c>
      <c r="T9" s="9">
        <f t="shared" si="3"/>
        <v>336000.00000000006</v>
      </c>
      <c r="U9" s="73">
        <f t="shared" si="4"/>
        <v>28.08660035108251</v>
      </c>
      <c r="V9" s="74" t="s">
        <v>208</v>
      </c>
    </row>
    <row r="10" spans="1:22" ht="24" x14ac:dyDescent="0.25">
      <c r="A10" s="27">
        <v>6</v>
      </c>
      <c r="B10" s="25" t="s">
        <v>197</v>
      </c>
      <c r="C10" s="25" t="s">
        <v>209</v>
      </c>
      <c r="D10" s="27" t="s">
        <v>210</v>
      </c>
      <c r="E10" s="68">
        <f>SUMIFS(Detallar!$N$5:$N$300,Detallar!$B$5:$B$300,E$4)</f>
        <v>30.167999999999999</v>
      </c>
      <c r="F10" s="68">
        <f>SUMIFS(Detallar!$N$5:$N$300,Detallar!$B$5:$B$300,F$4)</f>
        <v>21.636000000000003</v>
      </c>
      <c r="G10" s="68">
        <f>SUMIFS(Detallar!$N$5:$N$300,Detallar!$B$5:$B$300,G$4)</f>
        <v>0</v>
      </c>
      <c r="H10" s="68">
        <f>SUMIFS(Detallar!$N$5:$N$300,Detallar!$B$5:$B$300,H$4)</f>
        <v>4.2839999999999998</v>
      </c>
      <c r="I10" s="68">
        <f>SUMIFS(Detallar!$N$5:$N$300,Detallar!$B$5:$B$300,I$4)</f>
        <v>12.17</v>
      </c>
      <c r="J10" s="68">
        <f>SUMIFS(Detallar!$N$5:$N$300,Detallar!$B$5:$B$300,J$4)</f>
        <v>9.9600000000000009</v>
      </c>
      <c r="K10" s="68">
        <f>SUMIFS(Detallar!$N$5:$N$300,Detallar!$B$5:$B$300,K$4)</f>
        <v>0</v>
      </c>
      <c r="L10" s="68">
        <f>SUMIFS(Detallar!$N$5:$N$300,Detallar!$B$5:$B$300,L$4)</f>
        <v>7.6</v>
      </c>
      <c r="M10" s="68">
        <f>SUMIFS(Detallar!$N$5:$N$300,Detallar!$B$5:$B$300,M$4)</f>
        <v>0</v>
      </c>
      <c r="N10" s="69">
        <f t="shared" si="0"/>
        <v>85.817999999999984</v>
      </c>
      <c r="O10" s="70">
        <v>0.1</v>
      </c>
      <c r="P10" s="69">
        <f t="shared" si="1"/>
        <v>94.399799999999985</v>
      </c>
      <c r="Q10" s="71" t="s">
        <v>200</v>
      </c>
      <c r="R10" s="72">
        <v>4000</v>
      </c>
      <c r="S10" s="9">
        <f t="shared" si="2"/>
        <v>4000</v>
      </c>
      <c r="T10" s="9">
        <f t="shared" si="3"/>
        <v>377599.19999999995</v>
      </c>
      <c r="U10" s="73">
        <f t="shared" si="4"/>
        <v>31.56392209312045</v>
      </c>
      <c r="V10" s="74" t="s">
        <v>211</v>
      </c>
    </row>
    <row r="11" spans="1:22" x14ac:dyDescent="0.25">
      <c r="A11" s="27">
        <v>7</v>
      </c>
      <c r="B11" s="25" t="s">
        <v>197</v>
      </c>
      <c r="C11" s="25" t="s">
        <v>212</v>
      </c>
      <c r="D11" s="27" t="s">
        <v>210</v>
      </c>
      <c r="E11" s="68">
        <f>SUMIFS(Detallar!$O$5:$O$300,Detallar!$B$5:$B$300,E$4)</f>
        <v>22.279999999999998</v>
      </c>
      <c r="F11" s="68">
        <f>SUMIFS(Detallar!$O$5:$O$300,Detallar!$B$5:$B$300,F$4)</f>
        <v>4.3360000000000003</v>
      </c>
      <c r="G11" s="68">
        <f>SUMIFS(Detallar!$O$5:$O$300,Detallar!$B$5:$B$300,G$4)</f>
        <v>0</v>
      </c>
      <c r="H11" s="68">
        <f>SUMIFS(Detallar!$O$5:$O$300,Detallar!$B$5:$B$300,H$4)</f>
        <v>5.1440000000000001</v>
      </c>
      <c r="I11" s="68">
        <f>SUMIFS(Detallar!$O$5:$O$300,Detallar!$B$5:$B$300,I$4)</f>
        <v>12.343999999999999</v>
      </c>
      <c r="J11" s="68">
        <f>SUMIFS(Detallar!$O$5:$O$300,Detallar!$B$5:$B$300,J$4)</f>
        <v>12.783999999999999</v>
      </c>
      <c r="K11" s="68">
        <f>SUMIFS(Detallar!$O$5:$O$300,Detallar!$B$5:$B$300,K$4)</f>
        <v>0</v>
      </c>
      <c r="L11" s="68">
        <f>SUMIFS(Detallar!$O$5:$O$300,Detallar!$B$5:$B$300,L$4)</f>
        <v>0</v>
      </c>
      <c r="M11" s="68">
        <f>SUMIFS(Detallar!$O$5:$O$300,Detallar!$B$5:$B$300,M$4)</f>
        <v>0</v>
      </c>
      <c r="N11" s="69">
        <f t="shared" si="0"/>
        <v>56.887999999999998</v>
      </c>
      <c r="O11" s="70">
        <v>0.1</v>
      </c>
      <c r="P11" s="69">
        <f t="shared" si="1"/>
        <v>62.576800000000006</v>
      </c>
      <c r="Q11" s="71" t="s">
        <v>200</v>
      </c>
      <c r="R11" s="72">
        <v>3000</v>
      </c>
      <c r="S11" s="9">
        <f t="shared" si="2"/>
        <v>3000</v>
      </c>
      <c r="T11" s="9">
        <f t="shared" si="3"/>
        <v>187730.40000000002</v>
      </c>
      <c r="U11" s="73">
        <f t="shared" si="4"/>
        <v>15.692585471871606</v>
      </c>
      <c r="V11" s="74" t="s">
        <v>213</v>
      </c>
    </row>
    <row r="12" spans="1:22" x14ac:dyDescent="0.25">
      <c r="A12" s="27">
        <v>8</v>
      </c>
      <c r="B12" s="25" t="s">
        <v>214</v>
      </c>
      <c r="C12" s="25" t="s">
        <v>215</v>
      </c>
      <c r="D12" s="27" t="s">
        <v>48</v>
      </c>
      <c r="E12" s="75">
        <f>SUMIFS(Furnitura!$E$5:$E$400,Furnitura!$B$5:$B$400,E$4,Furnitura!$C$5:$C$400,$C12)</f>
        <v>30</v>
      </c>
      <c r="F12" s="75">
        <f>SUMIFS(Furnitura!$E$5:$E$400,Furnitura!$B$5:$B$400,F$4,Furnitura!$C$5:$C$400,$C12)</f>
        <v>0</v>
      </c>
      <c r="G12" s="75">
        <f>SUMIFS(Furnitura!$E$5:$E$400,Furnitura!$B$5:$B$400,G$4,Furnitura!$C$5:$C$400,$C12)</f>
        <v>0</v>
      </c>
      <c r="H12" s="75">
        <f>SUMIFS(Furnitura!$E$5:$E$400,Furnitura!$B$5:$B$400,H$4,Furnitura!$C$5:$C$400,$C12)</f>
        <v>0</v>
      </c>
      <c r="I12" s="75">
        <f>SUMIFS(Furnitura!$E$5:$E$400,Furnitura!$B$5:$B$400,I$4,Furnitura!$C$5:$C$400,$C12)</f>
        <v>4</v>
      </c>
      <c r="J12" s="75">
        <f>SUMIFS(Furnitura!$E$5:$E$400,Furnitura!$B$5:$B$400,J$4,Furnitura!$C$5:$C$400,$C12)</f>
        <v>0</v>
      </c>
      <c r="K12" s="75">
        <f>SUMIFS(Furnitura!$E$5:$E$400,Furnitura!$B$5:$B$400,K$4,Furnitura!$C$5:$C$400,$C12)</f>
        <v>0</v>
      </c>
      <c r="L12" s="75">
        <f>SUMIFS(Furnitura!$E$5:$E$400,Furnitura!$B$5:$B$400,L$4,Furnitura!$C$5:$C$400,$C12)</f>
        <v>0</v>
      </c>
      <c r="M12" s="75">
        <f>SUMIFS(Furnitura!$E$5:$E$400,Furnitura!$B$5:$B$400,M$4,Furnitura!$C$5:$C$400,$C12)</f>
        <v>0</v>
      </c>
      <c r="N12" s="45">
        <f t="shared" si="0"/>
        <v>34</v>
      </c>
      <c r="O12" s="70">
        <v>0</v>
      </c>
      <c r="P12" s="45">
        <f t="shared" si="1"/>
        <v>34</v>
      </c>
      <c r="Q12" s="71" t="s">
        <v>200</v>
      </c>
      <c r="R12" s="72">
        <v>10000</v>
      </c>
      <c r="S12" s="9">
        <f t="shared" si="2"/>
        <v>10000</v>
      </c>
      <c r="T12" s="9">
        <f t="shared" si="3"/>
        <v>340000</v>
      </c>
      <c r="U12" s="73">
        <f t="shared" si="4"/>
        <v>28.420964640976344</v>
      </c>
      <c r="V12" s="74"/>
    </row>
    <row r="13" spans="1:22" x14ac:dyDescent="0.25">
      <c r="A13" s="27">
        <v>9</v>
      </c>
      <c r="B13" s="25" t="s">
        <v>214</v>
      </c>
      <c r="C13" s="25" t="s">
        <v>216</v>
      </c>
      <c r="D13" s="27" t="s">
        <v>48</v>
      </c>
      <c r="E13" s="75">
        <f>SUMIFS(Furnitura!$E$5:$E$400,Furnitura!$B$5:$B$400,E$4,Furnitura!$C$5:$C$400,$C13)</f>
        <v>6</v>
      </c>
      <c r="F13" s="75">
        <f>SUMIFS(Furnitura!$E$5:$E$400,Furnitura!$B$5:$B$400,F$4,Furnitura!$C$5:$C$400,$C13)</f>
        <v>0</v>
      </c>
      <c r="G13" s="75">
        <f>SUMIFS(Furnitura!$E$5:$E$400,Furnitura!$B$5:$B$400,G$4,Furnitura!$C$5:$C$400,$C13)</f>
        <v>0</v>
      </c>
      <c r="H13" s="75">
        <f>SUMIFS(Furnitura!$E$5:$E$400,Furnitura!$B$5:$B$400,H$4,Furnitura!$C$5:$C$400,$C13)</f>
        <v>2</v>
      </c>
      <c r="I13" s="75">
        <f>SUMIFS(Furnitura!$E$5:$E$400,Furnitura!$B$5:$B$400,I$4,Furnitura!$C$5:$C$400,$C13)</f>
        <v>5</v>
      </c>
      <c r="J13" s="75">
        <f>SUMIFS(Furnitura!$E$5:$E$400,Furnitura!$B$5:$B$400,J$4,Furnitura!$C$5:$C$400,$C13)</f>
        <v>4</v>
      </c>
      <c r="K13" s="75">
        <f>SUMIFS(Furnitura!$E$5:$E$400,Furnitura!$B$5:$B$400,K$4,Furnitura!$C$5:$C$400,$C13)</f>
        <v>0</v>
      </c>
      <c r="L13" s="75">
        <f>SUMIFS(Furnitura!$E$5:$E$400,Furnitura!$B$5:$B$400,L$4,Furnitura!$C$5:$C$400,$C13)</f>
        <v>0</v>
      </c>
      <c r="M13" s="75">
        <f>SUMIFS(Furnitura!$E$5:$E$400,Furnitura!$B$5:$B$400,M$4,Furnitura!$C$5:$C$400,$C13)</f>
        <v>0</v>
      </c>
      <c r="N13" s="45">
        <f t="shared" si="0"/>
        <v>17</v>
      </c>
      <c r="O13" s="70">
        <v>0</v>
      </c>
      <c r="P13" s="45">
        <f t="shared" si="1"/>
        <v>17</v>
      </c>
      <c r="Q13" s="71" t="s">
        <v>200</v>
      </c>
      <c r="R13" s="72">
        <v>50000</v>
      </c>
      <c r="S13" s="9">
        <f t="shared" si="2"/>
        <v>50000</v>
      </c>
      <c r="T13" s="9">
        <f t="shared" si="3"/>
        <v>850000</v>
      </c>
      <c r="U13" s="73">
        <f t="shared" si="4"/>
        <v>71.052411602440856</v>
      </c>
      <c r="V13" s="74"/>
    </row>
    <row r="14" spans="1:22" x14ac:dyDescent="0.25">
      <c r="A14" s="27">
        <v>10</v>
      </c>
      <c r="B14" s="25" t="s">
        <v>214</v>
      </c>
      <c r="C14" s="76" t="str">
        <f>"Yashik napravlyayushiysi — Tumbochka ("&amp;tumba_naprav&amp;" mm)"</f>
        <v>Yashik napravlyayushiysi — Tumbochka (350 mm)</v>
      </c>
      <c r="D14" s="27" t="s">
        <v>217</v>
      </c>
      <c r="E14" s="75">
        <f>SUMIFS(Furnitura!$E$5:$E$400,Furnitura!$B$5:$B$400,E$4,Furnitura!$C$5:$C$400,$C14)</f>
        <v>0</v>
      </c>
      <c r="F14" s="75">
        <f>SUMIFS(Furnitura!$E$5:$E$400,Furnitura!$B$5:$B$400,F$4,Furnitura!$C$5:$C$400,$C14)</f>
        <v>0</v>
      </c>
      <c r="G14" s="75">
        <f>SUMIFS(Furnitura!$E$5:$E$400,Furnitura!$B$5:$B$400,G$4,Furnitura!$C$5:$C$400,$C14)</f>
        <v>0</v>
      </c>
      <c r="H14" s="75">
        <f>SUMIFS(Furnitura!$E$5:$E$400,Furnitura!$B$5:$B$400,H$4,Furnitura!$C$5:$C$400,$C14)</f>
        <v>2</v>
      </c>
      <c r="I14" s="75">
        <f>SUMIFS(Furnitura!$E$5:$E$400,Furnitura!$B$5:$B$400,I$4,Furnitura!$C$5:$C$400,$C14)</f>
        <v>0</v>
      </c>
      <c r="J14" s="75">
        <f>SUMIFS(Furnitura!$E$5:$E$400,Furnitura!$B$5:$B$400,J$4,Furnitura!$C$5:$C$400,$C14)</f>
        <v>0</v>
      </c>
      <c r="K14" s="75">
        <f>SUMIFS(Furnitura!$E$5:$E$400,Furnitura!$B$5:$B$400,K$4,Furnitura!$C$5:$C$400,$C14)</f>
        <v>0</v>
      </c>
      <c r="L14" s="75">
        <f>SUMIFS(Furnitura!$E$5:$E$400,Furnitura!$B$5:$B$400,L$4,Furnitura!$C$5:$C$400,$C14)</f>
        <v>0</v>
      </c>
      <c r="M14" s="75">
        <f>SUMIFS(Furnitura!$E$5:$E$400,Furnitura!$B$5:$B$400,M$4,Furnitura!$C$5:$C$400,$C14)</f>
        <v>0</v>
      </c>
      <c r="N14" s="45">
        <f t="shared" si="0"/>
        <v>2</v>
      </c>
      <c r="O14" s="70">
        <v>0</v>
      </c>
      <c r="P14" s="45">
        <f t="shared" si="1"/>
        <v>2</v>
      </c>
      <c r="Q14" s="71" t="s">
        <v>200</v>
      </c>
      <c r="R14" s="72">
        <v>100000</v>
      </c>
      <c r="S14" s="9">
        <f t="shared" si="2"/>
        <v>100000</v>
      </c>
      <c r="T14" s="9">
        <f t="shared" si="3"/>
        <v>200000</v>
      </c>
      <c r="U14" s="73">
        <f t="shared" si="4"/>
        <v>16.718214494691967</v>
      </c>
      <c r="V14" s="74" t="s">
        <v>218</v>
      </c>
    </row>
    <row r="15" spans="1:22" x14ac:dyDescent="0.25">
      <c r="A15" s="27">
        <v>11</v>
      </c>
      <c r="B15" s="25" t="s">
        <v>214</v>
      </c>
      <c r="C15" s="76" t="str">
        <f>"Yashik napravlyayushiysi — Trimo ("&amp;trimo_naprav&amp;" mm)"</f>
        <v>Yashik napravlyayushiysi — Trimo (400 mm)</v>
      </c>
      <c r="D15" s="27" t="s">
        <v>217</v>
      </c>
      <c r="E15" s="75">
        <f>SUMIFS(Furnitura!$E$5:$E$400,Furnitura!$B$5:$B$400,E$4,Furnitura!$C$5:$C$400,$C15)</f>
        <v>0</v>
      </c>
      <c r="F15" s="75">
        <f>SUMIFS(Furnitura!$E$5:$E$400,Furnitura!$B$5:$B$400,F$4,Furnitura!$C$5:$C$400,$C15)</f>
        <v>0</v>
      </c>
      <c r="G15" s="75">
        <f>SUMIFS(Furnitura!$E$5:$E$400,Furnitura!$B$5:$B$400,G$4,Furnitura!$C$5:$C$400,$C15)</f>
        <v>0</v>
      </c>
      <c r="H15" s="75">
        <f>SUMIFS(Furnitura!$E$5:$E$400,Furnitura!$B$5:$B$400,H$4,Furnitura!$C$5:$C$400,$C15)</f>
        <v>0</v>
      </c>
      <c r="I15" s="75">
        <f>SUMIFS(Furnitura!$E$5:$E$400,Furnitura!$B$5:$B$400,I$4,Furnitura!$C$5:$C$400,$C15)</f>
        <v>3</v>
      </c>
      <c r="J15" s="75">
        <f>SUMIFS(Furnitura!$E$5:$E$400,Furnitura!$B$5:$B$400,J$4,Furnitura!$C$5:$C$400,$C15)</f>
        <v>0</v>
      </c>
      <c r="K15" s="75">
        <f>SUMIFS(Furnitura!$E$5:$E$400,Furnitura!$B$5:$B$400,K$4,Furnitura!$C$5:$C$400,$C15)</f>
        <v>0</v>
      </c>
      <c r="L15" s="75">
        <f>SUMIFS(Furnitura!$E$5:$E$400,Furnitura!$B$5:$B$400,L$4,Furnitura!$C$5:$C$400,$C15)</f>
        <v>0</v>
      </c>
      <c r="M15" s="75">
        <f>SUMIFS(Furnitura!$E$5:$E$400,Furnitura!$B$5:$B$400,M$4,Furnitura!$C$5:$C$400,$C15)</f>
        <v>0</v>
      </c>
      <c r="N15" s="45">
        <f t="shared" si="0"/>
        <v>3</v>
      </c>
      <c r="O15" s="70">
        <v>0</v>
      </c>
      <c r="P15" s="45">
        <f t="shared" si="1"/>
        <v>3</v>
      </c>
      <c r="Q15" s="71" t="s">
        <v>200</v>
      </c>
      <c r="R15" s="72">
        <v>110000</v>
      </c>
      <c r="S15" s="9">
        <f t="shared" si="2"/>
        <v>110000</v>
      </c>
      <c r="T15" s="9">
        <f t="shared" si="3"/>
        <v>330000</v>
      </c>
      <c r="U15" s="73">
        <f t="shared" si="4"/>
        <v>27.585053916241744</v>
      </c>
      <c r="V15" s="74" t="s">
        <v>219</v>
      </c>
    </row>
    <row r="16" spans="1:22" x14ac:dyDescent="0.25">
      <c r="A16" s="27">
        <v>12</v>
      </c>
      <c r="B16" s="25" t="s">
        <v>214</v>
      </c>
      <c r="C16" s="76" t="str">
        <f>"Yashik napravlyayushiysi — Chester ("&amp;chest_naprav&amp;" mm)"</f>
        <v>Yashik napravlyayushiysi — Chester (450 mm)</v>
      </c>
      <c r="D16" s="27" t="s">
        <v>217</v>
      </c>
      <c r="E16" s="75">
        <f>SUMIFS(Furnitura!$E$5:$E$400,Furnitura!$B$5:$B$400,E$4,Furnitura!$C$5:$C$400,$C16)</f>
        <v>0</v>
      </c>
      <c r="F16" s="75">
        <f>SUMIFS(Furnitura!$E$5:$E$400,Furnitura!$B$5:$B$400,F$4,Furnitura!$C$5:$C$400,$C16)</f>
        <v>0</v>
      </c>
      <c r="G16" s="75">
        <f>SUMIFS(Furnitura!$E$5:$E$400,Furnitura!$B$5:$B$400,G$4,Furnitura!$C$5:$C$400,$C16)</f>
        <v>0</v>
      </c>
      <c r="H16" s="75">
        <f>SUMIFS(Furnitura!$E$5:$E$400,Furnitura!$B$5:$B$400,H$4,Furnitura!$C$5:$C$400,$C16)</f>
        <v>0</v>
      </c>
      <c r="I16" s="75">
        <f>SUMIFS(Furnitura!$E$5:$E$400,Furnitura!$B$5:$B$400,I$4,Furnitura!$C$5:$C$400,$C16)</f>
        <v>0</v>
      </c>
      <c r="J16" s="75">
        <f>SUMIFS(Furnitura!$E$5:$E$400,Furnitura!$B$5:$B$400,J$4,Furnitura!$C$5:$C$400,$C16)</f>
        <v>4</v>
      </c>
      <c r="K16" s="75">
        <f>SUMIFS(Furnitura!$E$5:$E$400,Furnitura!$B$5:$B$400,K$4,Furnitura!$C$5:$C$400,$C16)</f>
        <v>0</v>
      </c>
      <c r="L16" s="75">
        <f>SUMIFS(Furnitura!$E$5:$E$400,Furnitura!$B$5:$B$400,L$4,Furnitura!$C$5:$C$400,$C16)</f>
        <v>0</v>
      </c>
      <c r="M16" s="75">
        <f>SUMIFS(Furnitura!$E$5:$E$400,Furnitura!$B$5:$B$400,M$4,Furnitura!$C$5:$C$400,$C16)</f>
        <v>0</v>
      </c>
      <c r="N16" s="45">
        <f t="shared" si="0"/>
        <v>4</v>
      </c>
      <c r="O16" s="70">
        <v>0</v>
      </c>
      <c r="P16" s="45">
        <f t="shared" si="1"/>
        <v>4</v>
      </c>
      <c r="Q16" s="71" t="s">
        <v>200</v>
      </c>
      <c r="R16" s="72">
        <v>120000</v>
      </c>
      <c r="S16" s="9">
        <f t="shared" si="2"/>
        <v>120000</v>
      </c>
      <c r="T16" s="9">
        <f t="shared" si="3"/>
        <v>480000</v>
      </c>
      <c r="U16" s="73">
        <f t="shared" si="4"/>
        <v>40.123714787260724</v>
      </c>
      <c r="V16" s="74" t="s">
        <v>220</v>
      </c>
    </row>
    <row r="17" spans="1:22" x14ac:dyDescent="0.25">
      <c r="A17" s="27">
        <v>13</v>
      </c>
      <c r="B17" s="25" t="s">
        <v>214</v>
      </c>
      <c r="C17" s="25" t="s">
        <v>221</v>
      </c>
      <c r="D17" s="27" t="s">
        <v>210</v>
      </c>
      <c r="E17" s="68">
        <f>SUMIFS(Furnitura!$E$5:$E$400,Furnitura!$B$5:$B$400,E$4,Furnitura!$C$5:$C$400,$C17)</f>
        <v>1.556</v>
      </c>
      <c r="F17" s="68">
        <f>SUMIFS(Furnitura!$E$5:$E$400,Furnitura!$B$5:$B$400,F$4,Furnitura!$C$5:$C$400,$C17)</f>
        <v>0</v>
      </c>
      <c r="G17" s="68">
        <f>SUMIFS(Furnitura!$E$5:$E$400,Furnitura!$B$5:$B$400,G$4,Furnitura!$C$5:$C$400,$C17)</f>
        <v>0</v>
      </c>
      <c r="H17" s="68">
        <f>SUMIFS(Furnitura!$E$5:$E$400,Furnitura!$B$5:$B$400,H$4,Furnitura!$C$5:$C$400,$C17)</f>
        <v>0</v>
      </c>
      <c r="I17" s="68">
        <f>SUMIFS(Furnitura!$E$5:$E$400,Furnitura!$B$5:$B$400,I$4,Furnitura!$C$5:$C$400,$C17)</f>
        <v>0</v>
      </c>
      <c r="J17" s="68">
        <f>SUMIFS(Furnitura!$E$5:$E$400,Furnitura!$B$5:$B$400,J$4,Furnitura!$C$5:$C$400,$C17)</f>
        <v>0</v>
      </c>
      <c r="K17" s="68">
        <f>SUMIFS(Furnitura!$E$5:$E$400,Furnitura!$B$5:$B$400,K$4,Furnitura!$C$5:$C$400,$C17)</f>
        <v>0</v>
      </c>
      <c r="L17" s="68">
        <f>SUMIFS(Furnitura!$E$5:$E$400,Furnitura!$B$5:$B$400,L$4,Furnitura!$C$5:$C$400,$C17)</f>
        <v>0</v>
      </c>
      <c r="M17" s="68">
        <f>SUMIFS(Furnitura!$E$5:$E$400,Furnitura!$B$5:$B$400,M$4,Furnitura!$C$5:$C$400,$C17)</f>
        <v>0</v>
      </c>
      <c r="N17" s="69">
        <f t="shared" si="0"/>
        <v>1.556</v>
      </c>
      <c r="O17" s="70">
        <v>0</v>
      </c>
      <c r="P17" s="69">
        <f t="shared" si="1"/>
        <v>1.556</v>
      </c>
      <c r="Q17" s="71" t="s">
        <v>200</v>
      </c>
      <c r="R17" s="72">
        <v>30000</v>
      </c>
      <c r="S17" s="9">
        <f t="shared" si="2"/>
        <v>30000</v>
      </c>
      <c r="T17" s="9">
        <f t="shared" si="3"/>
        <v>46680</v>
      </c>
      <c r="U17" s="73">
        <f t="shared" si="4"/>
        <v>3.9020312630611049</v>
      </c>
      <c r="V17" s="74"/>
    </row>
    <row r="18" spans="1:22" x14ac:dyDescent="0.25">
      <c r="A18" s="27">
        <v>14</v>
      </c>
      <c r="B18" s="25" t="s">
        <v>214</v>
      </c>
      <c r="C18" s="25" t="s">
        <v>222</v>
      </c>
      <c r="D18" s="27" t="s">
        <v>48</v>
      </c>
      <c r="E18" s="75">
        <f>SUMIFS(Furnitura!$E$5:$E$400,Furnitura!$B$5:$B$400,E$4,Furnitura!$C$5:$C$400,$C18)</f>
        <v>4</v>
      </c>
      <c r="F18" s="75">
        <f>SUMIFS(Furnitura!$E$5:$E$400,Furnitura!$B$5:$B$400,F$4,Furnitura!$C$5:$C$400,$C18)</f>
        <v>0</v>
      </c>
      <c r="G18" s="75">
        <f>SUMIFS(Furnitura!$E$5:$E$400,Furnitura!$B$5:$B$400,G$4,Furnitura!$C$5:$C$400,$C18)</f>
        <v>0</v>
      </c>
      <c r="H18" s="75">
        <f>SUMIFS(Furnitura!$E$5:$E$400,Furnitura!$B$5:$B$400,H$4,Furnitura!$C$5:$C$400,$C18)</f>
        <v>0</v>
      </c>
      <c r="I18" s="75">
        <f>SUMIFS(Furnitura!$E$5:$E$400,Furnitura!$B$5:$B$400,I$4,Furnitura!$C$5:$C$400,$C18)</f>
        <v>0</v>
      </c>
      <c r="J18" s="75">
        <f>SUMIFS(Furnitura!$E$5:$E$400,Furnitura!$B$5:$B$400,J$4,Furnitura!$C$5:$C$400,$C18)</f>
        <v>0</v>
      </c>
      <c r="K18" s="75">
        <f>SUMIFS(Furnitura!$E$5:$E$400,Furnitura!$B$5:$B$400,K$4,Furnitura!$C$5:$C$400,$C18)</f>
        <v>0</v>
      </c>
      <c r="L18" s="75">
        <f>SUMIFS(Furnitura!$E$5:$E$400,Furnitura!$B$5:$B$400,L$4,Furnitura!$C$5:$C$400,$C18)</f>
        <v>0</v>
      </c>
      <c r="M18" s="75">
        <f>SUMIFS(Furnitura!$E$5:$E$400,Furnitura!$B$5:$B$400,M$4,Furnitura!$C$5:$C$400,$C18)</f>
        <v>0</v>
      </c>
      <c r="N18" s="45">
        <f t="shared" si="0"/>
        <v>4</v>
      </c>
      <c r="O18" s="70">
        <v>0</v>
      </c>
      <c r="P18" s="45">
        <f t="shared" si="1"/>
        <v>4</v>
      </c>
      <c r="Q18" s="71" t="s">
        <v>200</v>
      </c>
      <c r="R18" s="72">
        <v>10000</v>
      </c>
      <c r="S18" s="9">
        <f t="shared" si="2"/>
        <v>10000</v>
      </c>
      <c r="T18" s="9">
        <f t="shared" si="3"/>
        <v>40000</v>
      </c>
      <c r="U18" s="73">
        <f t="shared" si="4"/>
        <v>3.3436428989383935</v>
      </c>
      <c r="V18" s="74"/>
    </row>
    <row r="19" spans="1:22" x14ac:dyDescent="0.25">
      <c r="A19" s="27">
        <v>15</v>
      </c>
      <c r="B19" s="25" t="s">
        <v>214</v>
      </c>
      <c r="C19" s="25" t="s">
        <v>223</v>
      </c>
      <c r="D19" s="27" t="s">
        <v>48</v>
      </c>
      <c r="E19" s="75">
        <f>SUMIFS(Furnitura!$E$5:$E$400,Furnitura!$B$5:$B$400,E$4,Furnitura!$C$5:$C$400,$C19)</f>
        <v>16</v>
      </c>
      <c r="F19" s="75">
        <f>SUMIFS(Furnitura!$E$5:$E$400,Furnitura!$B$5:$B$400,F$4,Furnitura!$C$5:$C$400,$C19)</f>
        <v>0</v>
      </c>
      <c r="G19" s="75">
        <f>SUMIFS(Furnitura!$E$5:$E$400,Furnitura!$B$5:$B$400,G$4,Furnitura!$C$5:$C$400,$C19)</f>
        <v>0</v>
      </c>
      <c r="H19" s="75">
        <f>SUMIFS(Furnitura!$E$5:$E$400,Furnitura!$B$5:$B$400,H$4,Furnitura!$C$5:$C$400,$C19)</f>
        <v>0</v>
      </c>
      <c r="I19" s="75">
        <f>SUMIFS(Furnitura!$E$5:$E$400,Furnitura!$B$5:$B$400,I$4,Furnitura!$C$5:$C$400,$C19)</f>
        <v>8</v>
      </c>
      <c r="J19" s="75">
        <f>SUMIFS(Furnitura!$E$5:$E$400,Furnitura!$B$5:$B$400,J$4,Furnitura!$C$5:$C$400,$C19)</f>
        <v>0</v>
      </c>
      <c r="K19" s="75">
        <f>SUMIFS(Furnitura!$E$5:$E$400,Furnitura!$B$5:$B$400,K$4,Furnitura!$C$5:$C$400,$C19)</f>
        <v>0</v>
      </c>
      <c r="L19" s="75">
        <f>SUMIFS(Furnitura!$E$5:$E$400,Furnitura!$B$5:$B$400,L$4,Furnitura!$C$5:$C$400,$C19)</f>
        <v>0</v>
      </c>
      <c r="M19" s="75">
        <f>SUMIFS(Furnitura!$E$5:$E$400,Furnitura!$B$5:$B$400,M$4,Furnitura!$C$5:$C$400,$C19)</f>
        <v>0</v>
      </c>
      <c r="N19" s="45">
        <f t="shared" si="0"/>
        <v>24</v>
      </c>
      <c r="O19" s="70">
        <v>0</v>
      </c>
      <c r="P19" s="45">
        <f t="shared" si="1"/>
        <v>24</v>
      </c>
      <c r="Q19" s="71" t="s">
        <v>200</v>
      </c>
      <c r="R19" s="72">
        <v>500</v>
      </c>
      <c r="S19" s="9">
        <f t="shared" si="2"/>
        <v>500</v>
      </c>
      <c r="T19" s="9">
        <f t="shared" si="3"/>
        <v>12000</v>
      </c>
      <c r="U19" s="73">
        <f t="shared" si="4"/>
        <v>1.003092869681518</v>
      </c>
      <c r="V19" s="74"/>
    </row>
    <row r="20" spans="1:22" x14ac:dyDescent="0.25">
      <c r="A20" s="27">
        <v>16</v>
      </c>
      <c r="B20" s="25" t="s">
        <v>214</v>
      </c>
      <c r="C20" s="25" t="s">
        <v>224</v>
      </c>
      <c r="D20" s="27" t="s">
        <v>48</v>
      </c>
      <c r="E20" s="75">
        <f>SUMIFS(Furnitura!$E$5:$E$400,Furnitura!$B$5:$B$400,E$4,Furnitura!$C$5:$C$400,$C20)</f>
        <v>48</v>
      </c>
      <c r="F20" s="75">
        <f>SUMIFS(Furnitura!$E$5:$E$400,Furnitura!$B$5:$B$400,F$4,Furnitura!$C$5:$C$400,$C20)</f>
        <v>8</v>
      </c>
      <c r="G20" s="75">
        <f>SUMIFS(Furnitura!$E$5:$E$400,Furnitura!$B$5:$B$400,G$4,Furnitura!$C$5:$C$400,$C20)</f>
        <v>0</v>
      </c>
      <c r="H20" s="75">
        <f>SUMIFS(Furnitura!$E$5:$E$400,Furnitura!$B$5:$B$400,H$4,Furnitura!$C$5:$C$400,$C20)</f>
        <v>20</v>
      </c>
      <c r="I20" s="75">
        <f>SUMIFS(Furnitura!$E$5:$E$400,Furnitura!$B$5:$B$400,I$4,Furnitura!$C$5:$C$400,$C20)</f>
        <v>32</v>
      </c>
      <c r="J20" s="75">
        <f>SUMIFS(Furnitura!$E$5:$E$400,Furnitura!$B$5:$B$400,J$4,Furnitura!$C$5:$C$400,$C20)</f>
        <v>28</v>
      </c>
      <c r="K20" s="75">
        <f>SUMIFS(Furnitura!$E$5:$E$400,Furnitura!$B$5:$B$400,K$4,Furnitura!$C$5:$C$400,$C20)</f>
        <v>8</v>
      </c>
      <c r="L20" s="75">
        <f>SUMIFS(Furnitura!$E$5:$E$400,Furnitura!$B$5:$B$400,L$4,Furnitura!$C$5:$C$400,$C20)</f>
        <v>6</v>
      </c>
      <c r="M20" s="75">
        <f>SUMIFS(Furnitura!$E$5:$E$400,Furnitura!$B$5:$B$400,M$4,Furnitura!$C$5:$C$400,$C20)</f>
        <v>0</v>
      </c>
      <c r="N20" s="45">
        <f t="shared" si="0"/>
        <v>150</v>
      </c>
      <c r="O20" s="70">
        <v>0</v>
      </c>
      <c r="P20" s="45">
        <f t="shared" si="1"/>
        <v>150</v>
      </c>
      <c r="Q20" s="71" t="s">
        <v>200</v>
      </c>
      <c r="R20" s="72">
        <v>2000</v>
      </c>
      <c r="S20" s="9">
        <f t="shared" si="2"/>
        <v>2000</v>
      </c>
      <c r="T20" s="9">
        <f t="shared" si="3"/>
        <v>300000</v>
      </c>
      <c r="U20" s="73">
        <f t="shared" si="4"/>
        <v>25.077321742037949</v>
      </c>
      <c r="V20" s="74" t="s">
        <v>225</v>
      </c>
    </row>
    <row r="21" spans="1:22" x14ac:dyDescent="0.25">
      <c r="A21" s="27">
        <v>17</v>
      </c>
      <c r="B21" s="25" t="s">
        <v>214</v>
      </c>
      <c r="C21" s="25" t="s">
        <v>226</v>
      </c>
      <c r="D21" s="27" t="s">
        <v>48</v>
      </c>
      <c r="E21" s="75">
        <f>SUMIFS(Furnitura!$E$5:$E$400,Furnitura!$B$5:$B$400,E$4,Furnitura!$C$5:$C$400,$C21)</f>
        <v>48</v>
      </c>
      <c r="F21" s="75">
        <f>SUMIFS(Furnitura!$E$5:$E$400,Furnitura!$B$5:$B$400,F$4,Furnitura!$C$5:$C$400,$C21)</f>
        <v>0</v>
      </c>
      <c r="G21" s="75">
        <f>SUMIFS(Furnitura!$E$5:$E$400,Furnitura!$B$5:$B$400,G$4,Furnitura!$C$5:$C$400,$C21)</f>
        <v>0</v>
      </c>
      <c r="H21" s="75">
        <f>SUMIFS(Furnitura!$E$5:$E$400,Furnitura!$B$5:$B$400,H$4,Furnitura!$C$5:$C$400,$C21)</f>
        <v>12</v>
      </c>
      <c r="I21" s="75">
        <f>SUMIFS(Furnitura!$E$5:$E$400,Furnitura!$B$5:$B$400,I$4,Furnitura!$C$5:$C$400,$C21)</f>
        <v>20</v>
      </c>
      <c r="J21" s="75">
        <f>SUMIFS(Furnitura!$E$5:$E$400,Furnitura!$B$5:$B$400,J$4,Furnitura!$C$5:$C$400,$C21)</f>
        <v>12</v>
      </c>
      <c r="K21" s="75">
        <f>SUMIFS(Furnitura!$E$5:$E$400,Furnitura!$B$5:$B$400,K$4,Furnitura!$C$5:$C$400,$C21)</f>
        <v>0</v>
      </c>
      <c r="L21" s="75">
        <f>SUMIFS(Furnitura!$E$5:$E$400,Furnitura!$B$5:$B$400,L$4,Furnitura!$C$5:$C$400,$C21)</f>
        <v>0</v>
      </c>
      <c r="M21" s="75">
        <f>SUMIFS(Furnitura!$E$5:$E$400,Furnitura!$B$5:$B$400,M$4,Furnitura!$C$5:$C$400,$C21)</f>
        <v>0</v>
      </c>
      <c r="N21" s="45">
        <f t="shared" si="0"/>
        <v>92</v>
      </c>
      <c r="O21" s="70">
        <v>0</v>
      </c>
      <c r="P21" s="45">
        <f t="shared" si="1"/>
        <v>92</v>
      </c>
      <c r="Q21" s="71" t="s">
        <v>200</v>
      </c>
      <c r="R21" s="72">
        <v>2000</v>
      </c>
      <c r="S21" s="9">
        <f t="shared" si="2"/>
        <v>2000</v>
      </c>
      <c r="T21" s="9">
        <f t="shared" si="3"/>
        <v>184000</v>
      </c>
      <c r="U21" s="73">
        <f t="shared" si="4"/>
        <v>15.380757335116609</v>
      </c>
      <c r="V21" s="74" t="s">
        <v>225</v>
      </c>
    </row>
    <row r="22" spans="1:22" x14ac:dyDescent="0.25">
      <c r="A22" s="27">
        <v>18</v>
      </c>
      <c r="B22" s="25" t="s">
        <v>214</v>
      </c>
      <c r="C22" s="25" t="s">
        <v>227</v>
      </c>
      <c r="D22" s="27" t="s">
        <v>48</v>
      </c>
      <c r="E22" s="75">
        <f>SUMIFS(Furnitura!$E$5:$E$400,Furnitura!$B$5:$B$400,E$4,Furnitura!$C$5:$C$400,$C22)</f>
        <v>132</v>
      </c>
      <c r="F22" s="75">
        <f>SUMIFS(Furnitura!$E$5:$E$400,Furnitura!$B$5:$B$400,F$4,Furnitura!$C$5:$C$400,$C22)</f>
        <v>0</v>
      </c>
      <c r="G22" s="75">
        <f>SUMIFS(Furnitura!$E$5:$E$400,Furnitura!$B$5:$B$400,G$4,Furnitura!$C$5:$C$400,$C22)</f>
        <v>0</v>
      </c>
      <c r="H22" s="75">
        <f>SUMIFS(Furnitura!$E$5:$E$400,Furnitura!$B$5:$B$400,H$4,Furnitura!$C$5:$C$400,$C22)</f>
        <v>32</v>
      </c>
      <c r="I22" s="75">
        <f>SUMIFS(Furnitura!$E$5:$E$400,Furnitura!$B$5:$B$400,I$4,Furnitura!$C$5:$C$400,$C22)</f>
        <v>64</v>
      </c>
      <c r="J22" s="75">
        <f>SUMIFS(Furnitura!$E$5:$E$400,Furnitura!$B$5:$B$400,J$4,Furnitura!$C$5:$C$400,$C22)</f>
        <v>64</v>
      </c>
      <c r="K22" s="75">
        <f>SUMIFS(Furnitura!$E$5:$E$400,Furnitura!$B$5:$B$400,K$4,Furnitura!$C$5:$C$400,$C22)</f>
        <v>0</v>
      </c>
      <c r="L22" s="75">
        <f>SUMIFS(Furnitura!$E$5:$E$400,Furnitura!$B$5:$B$400,L$4,Furnitura!$C$5:$C$400,$C22)</f>
        <v>0</v>
      </c>
      <c r="M22" s="75">
        <f>SUMIFS(Furnitura!$E$5:$E$400,Furnitura!$B$5:$B$400,M$4,Furnitura!$C$5:$C$400,$C22)</f>
        <v>0</v>
      </c>
      <c r="N22" s="45">
        <f t="shared" si="0"/>
        <v>292</v>
      </c>
      <c r="O22" s="70">
        <v>0</v>
      </c>
      <c r="P22" s="45">
        <f t="shared" si="1"/>
        <v>292</v>
      </c>
      <c r="Q22" s="71" t="s">
        <v>200</v>
      </c>
      <c r="R22" s="72">
        <v>80</v>
      </c>
      <c r="S22" s="9">
        <f t="shared" si="2"/>
        <v>80</v>
      </c>
      <c r="T22" s="9">
        <f t="shared" si="3"/>
        <v>23360</v>
      </c>
      <c r="U22" s="73">
        <f t="shared" si="4"/>
        <v>1.9526874529800218</v>
      </c>
      <c r="V22" s="74" t="s">
        <v>228</v>
      </c>
    </row>
    <row r="23" spans="1:22" x14ac:dyDescent="0.25">
      <c r="A23" s="27">
        <v>19</v>
      </c>
      <c r="B23" s="25" t="s">
        <v>214</v>
      </c>
      <c r="C23" s="25" t="s">
        <v>229</v>
      </c>
      <c r="D23" s="27" t="s">
        <v>48</v>
      </c>
      <c r="E23" s="75">
        <f>SUMIFS(Furnitura!$E$5:$E$400,Furnitura!$B$5:$B$400,E$4,Furnitura!$C$5:$C$400,$C23)</f>
        <v>0</v>
      </c>
      <c r="F23" s="75">
        <f>SUMIFS(Furnitura!$E$5:$E$400,Furnitura!$B$5:$B$400,F$4,Furnitura!$C$5:$C$400,$C23)</f>
        <v>42</v>
      </c>
      <c r="G23" s="75">
        <f>SUMIFS(Furnitura!$E$5:$E$400,Furnitura!$B$5:$B$400,G$4,Furnitura!$C$5:$C$400,$C23)</f>
        <v>0</v>
      </c>
      <c r="H23" s="75">
        <f>SUMIFS(Furnitura!$E$5:$E$400,Furnitura!$B$5:$B$400,H$4,Furnitura!$C$5:$C$400,$C23)</f>
        <v>0</v>
      </c>
      <c r="I23" s="75">
        <f>SUMIFS(Furnitura!$E$5:$E$400,Furnitura!$B$5:$B$400,I$4,Furnitura!$C$5:$C$400,$C23)</f>
        <v>0</v>
      </c>
      <c r="J23" s="75">
        <f>SUMIFS(Furnitura!$E$5:$E$400,Furnitura!$B$5:$B$400,J$4,Furnitura!$C$5:$C$400,$C23)</f>
        <v>0</v>
      </c>
      <c r="K23" s="75">
        <f>SUMIFS(Furnitura!$E$5:$E$400,Furnitura!$B$5:$B$400,K$4,Furnitura!$C$5:$C$400,$C23)</f>
        <v>0</v>
      </c>
      <c r="L23" s="75">
        <f>SUMIFS(Furnitura!$E$5:$E$400,Furnitura!$B$5:$B$400,L$4,Furnitura!$C$5:$C$400,$C23)</f>
        <v>0</v>
      </c>
      <c r="M23" s="75">
        <f>SUMIFS(Furnitura!$E$5:$E$400,Furnitura!$B$5:$B$400,M$4,Furnitura!$C$5:$C$400,$C23)</f>
        <v>0</v>
      </c>
      <c r="N23" s="45">
        <f t="shared" si="0"/>
        <v>42</v>
      </c>
      <c r="O23" s="70">
        <v>0</v>
      </c>
      <c r="P23" s="45">
        <f t="shared" si="1"/>
        <v>42</v>
      </c>
      <c r="Q23" s="71" t="s">
        <v>200</v>
      </c>
      <c r="R23" s="72">
        <v>100</v>
      </c>
      <c r="S23" s="9">
        <f t="shared" si="2"/>
        <v>100</v>
      </c>
      <c r="T23" s="9">
        <f t="shared" si="3"/>
        <v>4200</v>
      </c>
      <c r="U23" s="73">
        <f t="shared" si="4"/>
        <v>0.35108250438853128</v>
      </c>
      <c r="V23" s="74" t="s">
        <v>230</v>
      </c>
    </row>
    <row r="24" spans="1:22" x14ac:dyDescent="0.25">
      <c r="A24" s="27">
        <v>20</v>
      </c>
      <c r="B24" s="25" t="s">
        <v>214</v>
      </c>
      <c r="C24" s="25" t="s">
        <v>231</v>
      </c>
      <c r="D24" s="27" t="s">
        <v>48</v>
      </c>
      <c r="E24" s="75">
        <f>SUMIFS(Furnitura!$E$5:$E$400,Furnitura!$B$5:$B$400,E$4,Furnitura!$C$5:$C$400,$C24)</f>
        <v>180</v>
      </c>
      <c r="F24" s="75">
        <f>SUMIFS(Furnitura!$E$5:$E$400,Furnitura!$B$5:$B$400,F$4,Furnitura!$C$5:$C$400,$C24)</f>
        <v>0</v>
      </c>
      <c r="G24" s="75">
        <f>SUMIFS(Furnitura!$E$5:$E$400,Furnitura!$B$5:$B$400,G$4,Furnitura!$C$5:$C$400,$C24)</f>
        <v>0</v>
      </c>
      <c r="H24" s="75">
        <f>SUMIFS(Furnitura!$E$5:$E$400,Furnitura!$B$5:$B$400,H$4,Furnitura!$C$5:$C$400,$C24)</f>
        <v>54</v>
      </c>
      <c r="I24" s="75">
        <f>SUMIFS(Furnitura!$E$5:$E$400,Furnitura!$B$5:$B$400,I$4,Furnitura!$C$5:$C$400,$C24)</f>
        <v>102</v>
      </c>
      <c r="J24" s="75">
        <f>SUMIFS(Furnitura!$E$5:$E$400,Furnitura!$B$5:$B$400,J$4,Furnitura!$C$5:$C$400,$C24)</f>
        <v>131</v>
      </c>
      <c r="K24" s="75">
        <f>SUMIFS(Furnitura!$E$5:$E$400,Furnitura!$B$5:$B$400,K$4,Furnitura!$C$5:$C$400,$C24)</f>
        <v>16</v>
      </c>
      <c r="L24" s="75">
        <f>SUMIFS(Furnitura!$E$5:$E$400,Furnitura!$B$5:$B$400,L$4,Furnitura!$C$5:$C$400,$C24)</f>
        <v>0</v>
      </c>
      <c r="M24" s="75">
        <f>SUMIFS(Furnitura!$E$5:$E$400,Furnitura!$B$5:$B$400,M$4,Furnitura!$C$5:$C$400,$C24)</f>
        <v>0</v>
      </c>
      <c r="N24" s="45">
        <f t="shared" si="0"/>
        <v>483</v>
      </c>
      <c r="O24" s="70">
        <v>0</v>
      </c>
      <c r="P24" s="45">
        <f t="shared" si="1"/>
        <v>483</v>
      </c>
      <c r="Q24" s="71" t="s">
        <v>200</v>
      </c>
      <c r="R24" s="72">
        <v>40</v>
      </c>
      <c r="S24" s="9">
        <f t="shared" si="2"/>
        <v>40</v>
      </c>
      <c r="T24" s="9">
        <f t="shared" si="3"/>
        <v>19320</v>
      </c>
      <c r="U24" s="73">
        <f t="shared" si="4"/>
        <v>1.6149795201872441</v>
      </c>
      <c r="V24" s="74" t="s">
        <v>232</v>
      </c>
    </row>
    <row r="25" spans="1:22" x14ac:dyDescent="0.25">
      <c r="A25" s="27">
        <v>21</v>
      </c>
      <c r="B25" s="25" t="s">
        <v>214</v>
      </c>
      <c r="C25" s="25" t="s">
        <v>233</v>
      </c>
      <c r="D25" s="27" t="s">
        <v>234</v>
      </c>
      <c r="E25" s="75">
        <f>SUMIFS(Furnitura!$E$5:$E$400,Furnitura!$B$5:$B$400,E$4,Furnitura!$C$5:$C$400,$C25)</f>
        <v>0</v>
      </c>
      <c r="F25" s="75">
        <f>SUMIFS(Furnitura!$E$5:$E$400,Furnitura!$B$5:$B$400,F$4,Furnitura!$C$5:$C$400,$C25)</f>
        <v>4</v>
      </c>
      <c r="G25" s="75">
        <f>SUMIFS(Furnitura!$E$5:$E$400,Furnitura!$B$5:$B$400,G$4,Furnitura!$C$5:$C$400,$C25)</f>
        <v>0</v>
      </c>
      <c r="H25" s="75">
        <f>SUMIFS(Furnitura!$E$5:$E$400,Furnitura!$B$5:$B$400,H$4,Furnitura!$C$5:$C$400,$C25)</f>
        <v>0</v>
      </c>
      <c r="I25" s="75">
        <f>SUMIFS(Furnitura!$E$5:$E$400,Furnitura!$B$5:$B$400,I$4,Furnitura!$C$5:$C$400,$C25)</f>
        <v>0</v>
      </c>
      <c r="J25" s="75">
        <f>SUMIFS(Furnitura!$E$5:$E$400,Furnitura!$B$5:$B$400,J$4,Furnitura!$C$5:$C$400,$C25)</f>
        <v>0</v>
      </c>
      <c r="K25" s="75">
        <f>SUMIFS(Furnitura!$E$5:$E$400,Furnitura!$B$5:$B$400,K$4,Furnitura!$C$5:$C$400,$C25)</f>
        <v>0</v>
      </c>
      <c r="L25" s="75">
        <f>SUMIFS(Furnitura!$E$5:$E$400,Furnitura!$B$5:$B$400,L$4,Furnitura!$C$5:$C$400,$C25)</f>
        <v>0</v>
      </c>
      <c r="M25" s="75">
        <f>SUMIFS(Furnitura!$E$5:$E$400,Furnitura!$B$5:$B$400,M$4,Furnitura!$C$5:$C$400,$C25)</f>
        <v>0</v>
      </c>
      <c r="N25" s="45">
        <f t="shared" si="0"/>
        <v>4</v>
      </c>
      <c r="O25" s="70">
        <v>0</v>
      </c>
      <c r="P25" s="45">
        <f t="shared" si="1"/>
        <v>4</v>
      </c>
      <c r="Q25" s="71" t="s">
        <v>200</v>
      </c>
      <c r="R25" s="72">
        <v>1500</v>
      </c>
      <c r="S25" s="9">
        <f t="shared" si="2"/>
        <v>1500</v>
      </c>
      <c r="T25" s="9">
        <f t="shared" si="3"/>
        <v>6000</v>
      </c>
      <c r="U25" s="73">
        <f t="shared" si="4"/>
        <v>0.501546434840759</v>
      </c>
      <c r="V25" s="74"/>
    </row>
    <row r="26" spans="1:22" x14ac:dyDescent="0.25">
      <c r="A26" s="27">
        <v>22</v>
      </c>
      <c r="B26" s="25" t="s">
        <v>214</v>
      </c>
      <c r="C26" s="25" t="s">
        <v>235</v>
      </c>
      <c r="D26" s="27" t="s">
        <v>48</v>
      </c>
      <c r="E26" s="75">
        <f>SUMIFS(Furnitura!$E$5:$E$400,Furnitura!$B$5:$B$400,E$4,Furnitura!$C$5:$C$400,$C26)</f>
        <v>0</v>
      </c>
      <c r="F26" s="75">
        <f>SUMIFS(Furnitura!$E$5:$E$400,Furnitura!$B$5:$B$400,F$4,Furnitura!$C$5:$C$400,$C26)</f>
        <v>4</v>
      </c>
      <c r="G26" s="75">
        <f>SUMIFS(Furnitura!$E$5:$E$400,Furnitura!$B$5:$B$400,G$4,Furnitura!$C$5:$C$400,$C26)</f>
        <v>0</v>
      </c>
      <c r="H26" s="75">
        <f>SUMIFS(Furnitura!$E$5:$E$400,Furnitura!$B$5:$B$400,H$4,Furnitura!$C$5:$C$400,$C26)</f>
        <v>0</v>
      </c>
      <c r="I26" s="75">
        <f>SUMIFS(Furnitura!$E$5:$E$400,Furnitura!$B$5:$B$400,I$4,Furnitura!$C$5:$C$400,$C26)</f>
        <v>0</v>
      </c>
      <c r="J26" s="75">
        <f>SUMIFS(Furnitura!$E$5:$E$400,Furnitura!$B$5:$B$400,J$4,Furnitura!$C$5:$C$400,$C26)</f>
        <v>0</v>
      </c>
      <c r="K26" s="75">
        <f>SUMIFS(Furnitura!$E$5:$E$400,Furnitura!$B$5:$B$400,K$4,Furnitura!$C$5:$C$400,$C26)</f>
        <v>0</v>
      </c>
      <c r="L26" s="75">
        <f>SUMIFS(Furnitura!$E$5:$E$400,Furnitura!$B$5:$B$400,L$4,Furnitura!$C$5:$C$400,$C26)</f>
        <v>0</v>
      </c>
      <c r="M26" s="75">
        <f>SUMIFS(Furnitura!$E$5:$E$400,Furnitura!$B$5:$B$400,M$4,Furnitura!$C$5:$C$400,$C26)</f>
        <v>0</v>
      </c>
      <c r="N26" s="45">
        <f t="shared" si="0"/>
        <v>4</v>
      </c>
      <c r="O26" s="70">
        <v>0</v>
      </c>
      <c r="P26" s="45">
        <f t="shared" si="1"/>
        <v>4</v>
      </c>
      <c r="Q26" s="71" t="s">
        <v>200</v>
      </c>
      <c r="R26" s="72">
        <v>500</v>
      </c>
      <c r="S26" s="9">
        <f t="shared" si="2"/>
        <v>500</v>
      </c>
      <c r="T26" s="9">
        <f t="shared" si="3"/>
        <v>2000</v>
      </c>
      <c r="U26" s="73">
        <f t="shared" si="4"/>
        <v>0.16718214494691966</v>
      </c>
      <c r="V26" s="74"/>
    </row>
    <row r="27" spans="1:22" x14ac:dyDescent="0.25">
      <c r="A27" s="27">
        <v>23</v>
      </c>
      <c r="B27" s="25" t="s">
        <v>214</v>
      </c>
      <c r="C27" s="25" t="s">
        <v>236</v>
      </c>
      <c r="D27" s="27" t="s">
        <v>48</v>
      </c>
      <c r="E27" s="75">
        <f>SUMIFS(Furnitura!$E$5:$E$400,Furnitura!$B$5:$B$400,E$4,Furnitura!$C$5:$C$400,$C27)</f>
        <v>0</v>
      </c>
      <c r="F27" s="75">
        <f>SUMIFS(Furnitura!$E$5:$E$400,Furnitura!$B$5:$B$400,F$4,Furnitura!$C$5:$C$400,$C27)</f>
        <v>3</v>
      </c>
      <c r="G27" s="75">
        <f>SUMIFS(Furnitura!$E$5:$E$400,Furnitura!$B$5:$B$400,G$4,Furnitura!$C$5:$C$400,$C27)</f>
        <v>0</v>
      </c>
      <c r="H27" s="75">
        <f>SUMIFS(Furnitura!$E$5:$E$400,Furnitura!$B$5:$B$400,H$4,Furnitura!$C$5:$C$400,$C27)</f>
        <v>0</v>
      </c>
      <c r="I27" s="75">
        <f>SUMIFS(Furnitura!$E$5:$E$400,Furnitura!$B$5:$B$400,I$4,Furnitura!$C$5:$C$400,$C27)</f>
        <v>0</v>
      </c>
      <c r="J27" s="75">
        <f>SUMIFS(Furnitura!$E$5:$E$400,Furnitura!$B$5:$B$400,J$4,Furnitura!$C$5:$C$400,$C27)</f>
        <v>0</v>
      </c>
      <c r="K27" s="75">
        <f>SUMIFS(Furnitura!$E$5:$E$400,Furnitura!$B$5:$B$400,K$4,Furnitura!$C$5:$C$400,$C27)</f>
        <v>0</v>
      </c>
      <c r="L27" s="75">
        <f>SUMIFS(Furnitura!$E$5:$E$400,Furnitura!$B$5:$B$400,L$4,Furnitura!$C$5:$C$400,$C27)</f>
        <v>0</v>
      </c>
      <c r="M27" s="75">
        <f>SUMIFS(Furnitura!$E$5:$E$400,Furnitura!$B$5:$B$400,M$4,Furnitura!$C$5:$C$400,$C27)</f>
        <v>0</v>
      </c>
      <c r="N27" s="45">
        <f t="shared" si="0"/>
        <v>3</v>
      </c>
      <c r="O27" s="70">
        <v>0</v>
      </c>
      <c r="P27" s="45">
        <f t="shared" si="1"/>
        <v>3</v>
      </c>
      <c r="Q27" s="71" t="s">
        <v>200</v>
      </c>
      <c r="R27" s="72">
        <v>15000</v>
      </c>
      <c r="S27" s="9">
        <f t="shared" si="2"/>
        <v>15000</v>
      </c>
      <c r="T27" s="9">
        <f t="shared" si="3"/>
        <v>45000</v>
      </c>
      <c r="U27" s="73">
        <f t="shared" si="4"/>
        <v>3.7615982613056924</v>
      </c>
      <c r="V27" s="74"/>
    </row>
    <row r="28" spans="1:22" x14ac:dyDescent="0.25">
      <c r="A28" s="27">
        <v>24</v>
      </c>
      <c r="B28" s="25" t="s">
        <v>214</v>
      </c>
      <c r="C28" s="25" t="s">
        <v>237</v>
      </c>
      <c r="D28" s="27" t="s">
        <v>210</v>
      </c>
      <c r="E28" s="68">
        <f>SUMIFS(Furnitura!$E$5:$E$400,Furnitura!$B$5:$B$400,E$4,Furnitura!$C$5:$C$400,$C28)</f>
        <v>0</v>
      </c>
      <c r="F28" s="68">
        <f>SUMIFS(Furnitura!$E$5:$E$400,Furnitura!$B$5:$B$400,F$4,Furnitura!$C$5:$C$400,$C28)</f>
        <v>4.3360000000000003</v>
      </c>
      <c r="G28" s="68">
        <f>SUMIFS(Furnitura!$E$5:$E$400,Furnitura!$B$5:$B$400,G$4,Furnitura!$C$5:$C$400,$C28)</f>
        <v>0</v>
      </c>
      <c r="H28" s="68">
        <f>SUMIFS(Furnitura!$E$5:$E$400,Furnitura!$B$5:$B$400,H$4,Furnitura!$C$5:$C$400,$C28)</f>
        <v>0</v>
      </c>
      <c r="I28" s="68">
        <f>SUMIFS(Furnitura!$E$5:$E$400,Furnitura!$B$5:$B$400,I$4,Furnitura!$C$5:$C$400,$C28)</f>
        <v>0</v>
      </c>
      <c r="J28" s="68">
        <f>SUMIFS(Furnitura!$E$5:$E$400,Furnitura!$B$5:$B$400,J$4,Furnitura!$C$5:$C$400,$C28)</f>
        <v>0</v>
      </c>
      <c r="K28" s="68">
        <f>SUMIFS(Furnitura!$E$5:$E$400,Furnitura!$B$5:$B$400,K$4,Furnitura!$C$5:$C$400,$C28)</f>
        <v>0</v>
      </c>
      <c r="L28" s="68">
        <f>SUMIFS(Furnitura!$E$5:$E$400,Furnitura!$B$5:$B$400,L$4,Furnitura!$C$5:$C$400,$C28)</f>
        <v>0</v>
      </c>
      <c r="M28" s="68">
        <f>SUMIFS(Furnitura!$E$5:$E$400,Furnitura!$B$5:$B$400,M$4,Furnitura!$C$5:$C$400,$C28)</f>
        <v>0</v>
      </c>
      <c r="N28" s="69">
        <f t="shared" si="0"/>
        <v>4.3360000000000003</v>
      </c>
      <c r="O28" s="70">
        <v>0</v>
      </c>
      <c r="P28" s="69">
        <f t="shared" si="1"/>
        <v>4.3360000000000003</v>
      </c>
      <c r="Q28" s="71" t="s">
        <v>200</v>
      </c>
      <c r="R28" s="72">
        <v>100000</v>
      </c>
      <c r="S28" s="9">
        <f t="shared" si="2"/>
        <v>100000</v>
      </c>
      <c r="T28" s="9">
        <f t="shared" si="3"/>
        <v>433600.00000000006</v>
      </c>
      <c r="U28" s="73">
        <f t="shared" si="4"/>
        <v>36.245089024492188</v>
      </c>
      <c r="V28" s="74"/>
    </row>
    <row r="29" spans="1:22" x14ac:dyDescent="0.25">
      <c r="A29" s="27">
        <v>25</v>
      </c>
      <c r="B29" s="25" t="s">
        <v>214</v>
      </c>
      <c r="C29" s="25" t="s">
        <v>238</v>
      </c>
      <c r="D29" s="27" t="s">
        <v>234</v>
      </c>
      <c r="E29" s="75">
        <f>SUMIFS(Furnitura!$E$5:$E$400,Furnitura!$B$5:$B$400,E$4,Furnitura!$C$5:$C$400,$C29)</f>
        <v>0</v>
      </c>
      <c r="F29" s="75">
        <f>SUMIFS(Furnitura!$E$5:$E$400,Furnitura!$B$5:$B$400,F$4,Furnitura!$C$5:$C$400,$C29)</f>
        <v>0</v>
      </c>
      <c r="G29" s="75">
        <f>SUMIFS(Furnitura!$E$5:$E$400,Furnitura!$B$5:$B$400,G$4,Furnitura!$C$5:$C$400,$C29)</f>
        <v>0</v>
      </c>
      <c r="H29" s="75">
        <f>SUMIFS(Furnitura!$E$5:$E$400,Furnitura!$B$5:$B$400,H$4,Furnitura!$C$5:$C$400,$C29)</f>
        <v>0</v>
      </c>
      <c r="I29" s="75">
        <f>SUMIFS(Furnitura!$E$5:$E$400,Furnitura!$B$5:$B$400,I$4,Furnitura!$C$5:$C$400,$C29)</f>
        <v>0</v>
      </c>
      <c r="J29" s="75">
        <f>SUMIFS(Furnitura!$E$5:$E$400,Furnitura!$B$5:$B$400,J$4,Furnitura!$C$5:$C$400,$C29)</f>
        <v>0</v>
      </c>
      <c r="K29" s="75">
        <f>SUMIFS(Furnitura!$E$5:$E$400,Furnitura!$B$5:$B$400,K$4,Furnitura!$C$5:$C$400,$C29)</f>
        <v>0</v>
      </c>
      <c r="L29" s="75">
        <f>SUMIFS(Furnitura!$E$5:$E$400,Furnitura!$B$5:$B$400,L$4,Furnitura!$C$5:$C$400,$C29)</f>
        <v>0</v>
      </c>
      <c r="M29" s="75">
        <f>SUMIFS(Furnitura!$E$5:$E$400,Furnitura!$B$5:$B$400,M$4,Furnitura!$C$5:$C$400,$C29)</f>
        <v>0</v>
      </c>
      <c r="N29" s="45">
        <f t="shared" si="0"/>
        <v>0</v>
      </c>
      <c r="O29" s="70">
        <v>0</v>
      </c>
      <c r="P29" s="45">
        <f t="shared" si="1"/>
        <v>0</v>
      </c>
      <c r="Q29" s="71" t="s">
        <v>200</v>
      </c>
      <c r="R29" s="72"/>
      <c r="S29" s="9">
        <f t="shared" si="2"/>
        <v>0</v>
      </c>
      <c r="T29" s="9">
        <f t="shared" si="3"/>
        <v>0</v>
      </c>
      <c r="U29" s="73">
        <f t="shared" si="4"/>
        <v>0</v>
      </c>
      <c r="V29" s="74"/>
    </row>
    <row r="30" spans="1:22" x14ac:dyDescent="0.25">
      <c r="A30" s="27">
        <v>26</v>
      </c>
      <c r="B30" s="25" t="s">
        <v>79</v>
      </c>
      <c r="C30" s="25" t="s">
        <v>239</v>
      </c>
      <c r="D30" s="27" t="s">
        <v>152</v>
      </c>
      <c r="E30" s="68">
        <f>SUMIFS(Furnitura!$E$5:$E$400,Furnitura!$B$5:$B$400,E$4,Furnitura!$C$5:$C$400,$C30)</f>
        <v>0</v>
      </c>
      <c r="F30" s="68">
        <f>SUMIFS(Furnitura!$E$5:$E$400,Furnitura!$B$5:$B$400,F$4,Furnitura!$C$5:$C$400,$C30)</f>
        <v>0</v>
      </c>
      <c r="G30" s="68">
        <f>SUMIFS(Furnitura!$E$5:$E$400,Furnitura!$B$5:$B$400,G$4,Furnitura!$C$5:$C$400,$C30)</f>
        <v>0</v>
      </c>
      <c r="H30" s="68">
        <f>SUMIFS(Furnitura!$E$5:$E$400,Furnitura!$B$5:$B$400,H$4,Furnitura!$C$5:$C$400,$C30)</f>
        <v>0</v>
      </c>
      <c r="I30" s="68">
        <f>SUMIFS(Furnitura!$E$5:$E$400,Furnitura!$B$5:$B$400,I$4,Furnitura!$C$5:$C$400,$C30)</f>
        <v>0</v>
      </c>
      <c r="J30" s="68">
        <f>SUMIFS(Furnitura!$E$5:$E$400,Furnitura!$B$5:$B$400,J$4,Furnitura!$C$5:$C$400,$C30)</f>
        <v>0</v>
      </c>
      <c r="K30" s="68">
        <f>SUMIFS(Furnitura!$E$5:$E$400,Furnitura!$B$5:$B$400,K$4,Furnitura!$C$5:$C$400,$C30)</f>
        <v>0.16</v>
      </c>
      <c r="L30" s="68">
        <f>SUMIFS(Furnitura!$E$5:$E$400,Furnitura!$B$5:$B$400,L$4,Furnitura!$C$5:$C$400,$C30)</f>
        <v>0</v>
      </c>
      <c r="M30" s="68">
        <f>SUMIFS(Furnitura!$E$5:$E$400,Furnitura!$B$5:$B$400,M$4,Furnitura!$C$5:$C$400,$C30)</f>
        <v>0</v>
      </c>
      <c r="N30" s="69">
        <f t="shared" si="0"/>
        <v>0.16</v>
      </c>
      <c r="O30" s="70">
        <v>0.1</v>
      </c>
      <c r="P30" s="69">
        <f t="shared" si="1"/>
        <v>0.17600000000000002</v>
      </c>
      <c r="Q30" s="71" t="s">
        <v>200</v>
      </c>
      <c r="R30" s="72">
        <v>0</v>
      </c>
      <c r="S30" s="9">
        <f t="shared" si="2"/>
        <v>0</v>
      </c>
      <c r="T30" s="9">
        <f t="shared" si="3"/>
        <v>0</v>
      </c>
      <c r="U30" s="73">
        <f t="shared" si="4"/>
        <v>0</v>
      </c>
      <c r="V30" s="74"/>
    </row>
    <row r="31" spans="1:22" x14ac:dyDescent="0.25">
      <c r="A31" s="27">
        <v>27</v>
      </c>
      <c r="B31" s="25" t="s">
        <v>79</v>
      </c>
      <c r="C31" s="25" t="s">
        <v>240</v>
      </c>
      <c r="D31" s="27" t="s">
        <v>152</v>
      </c>
      <c r="E31" s="68">
        <f>SUMIFS(Furnitura!$E$5:$E$400,Furnitura!$B$5:$B$400,E$4,Furnitura!$C$5:$C$400,$C31)</f>
        <v>0</v>
      </c>
      <c r="F31" s="68">
        <f>SUMIFS(Furnitura!$E$5:$E$400,Furnitura!$B$5:$B$400,F$4,Furnitura!$C$5:$C$400,$C31)</f>
        <v>0</v>
      </c>
      <c r="G31" s="68">
        <f>SUMIFS(Furnitura!$E$5:$E$400,Furnitura!$B$5:$B$400,G$4,Furnitura!$C$5:$C$400,$C31)</f>
        <v>0</v>
      </c>
      <c r="H31" s="68">
        <f>SUMIFS(Furnitura!$E$5:$E$400,Furnitura!$B$5:$B$400,H$4,Furnitura!$C$5:$C$400,$C31)</f>
        <v>0</v>
      </c>
      <c r="I31" s="68">
        <f>SUMIFS(Furnitura!$E$5:$E$400,Furnitura!$B$5:$B$400,I$4,Furnitura!$C$5:$C$400,$C31)</f>
        <v>0</v>
      </c>
      <c r="J31" s="68">
        <f>SUMIFS(Furnitura!$E$5:$E$400,Furnitura!$B$5:$B$400,J$4,Furnitura!$C$5:$C$400,$C31)</f>
        <v>0</v>
      </c>
      <c r="K31" s="68">
        <f>SUMIFS(Furnitura!$E$5:$E$400,Furnitura!$B$5:$B$400,K$4,Furnitura!$C$5:$C$400,$C31)</f>
        <v>0.56000000000000005</v>
      </c>
      <c r="L31" s="68">
        <f>SUMIFS(Furnitura!$E$5:$E$400,Furnitura!$B$5:$B$400,L$4,Furnitura!$C$5:$C$400,$C31)</f>
        <v>0</v>
      </c>
      <c r="M31" s="68">
        <f>SUMIFS(Furnitura!$E$5:$E$400,Furnitura!$B$5:$B$400,M$4,Furnitura!$C$5:$C$400,$C31)</f>
        <v>0</v>
      </c>
      <c r="N31" s="69">
        <f t="shared" si="0"/>
        <v>0.56000000000000005</v>
      </c>
      <c r="O31" s="70">
        <v>0.1</v>
      </c>
      <c r="P31" s="69">
        <f t="shared" si="1"/>
        <v>0.6160000000000001</v>
      </c>
      <c r="Q31" s="71" t="s">
        <v>200</v>
      </c>
      <c r="R31" s="72">
        <v>50000</v>
      </c>
      <c r="S31" s="9">
        <f t="shared" si="2"/>
        <v>50000</v>
      </c>
      <c r="T31" s="9">
        <f t="shared" si="3"/>
        <v>30800.000000000004</v>
      </c>
      <c r="U31" s="73">
        <f t="shared" si="4"/>
        <v>2.5746050321825633</v>
      </c>
      <c r="V31" s="74"/>
    </row>
    <row r="32" spans="1:22" x14ac:dyDescent="0.25">
      <c r="A32" s="27">
        <v>28</v>
      </c>
      <c r="B32" s="25" t="s">
        <v>79</v>
      </c>
      <c r="C32" s="25" t="s">
        <v>241</v>
      </c>
      <c r="D32" s="27" t="s">
        <v>152</v>
      </c>
      <c r="E32" s="68">
        <f>SUMIFS(Furnitura!$E$5:$E$400,Furnitura!$B$5:$B$400,E$4,Furnitura!$C$5:$C$400,$C32)</f>
        <v>0</v>
      </c>
      <c r="F32" s="68">
        <f>SUMIFS(Furnitura!$E$5:$E$400,Furnitura!$B$5:$B$400,F$4,Furnitura!$C$5:$C$400,$C32)</f>
        <v>0</v>
      </c>
      <c r="G32" s="68">
        <f>SUMIFS(Furnitura!$E$5:$E$400,Furnitura!$B$5:$B$400,G$4,Furnitura!$C$5:$C$400,$C32)</f>
        <v>0</v>
      </c>
      <c r="H32" s="68">
        <f>SUMIFS(Furnitura!$E$5:$E$400,Furnitura!$B$5:$B$400,H$4,Furnitura!$C$5:$C$400,$C32)</f>
        <v>0</v>
      </c>
      <c r="I32" s="68">
        <f>SUMIFS(Furnitura!$E$5:$E$400,Furnitura!$B$5:$B$400,I$4,Furnitura!$C$5:$C$400,$C32)</f>
        <v>0</v>
      </c>
      <c r="J32" s="68">
        <f>SUMIFS(Furnitura!$E$5:$E$400,Furnitura!$B$5:$B$400,J$4,Furnitura!$C$5:$C$400,$C32)</f>
        <v>0</v>
      </c>
      <c r="K32" s="68">
        <f>SUMIFS(Furnitura!$E$5:$E$400,Furnitura!$B$5:$B$400,K$4,Furnitura!$C$5:$C$400,$C32)</f>
        <v>1.0580000000000001</v>
      </c>
      <c r="L32" s="68">
        <f>SUMIFS(Furnitura!$E$5:$E$400,Furnitura!$B$5:$B$400,L$4,Furnitura!$C$5:$C$400,$C32)</f>
        <v>0</v>
      </c>
      <c r="M32" s="68">
        <f>SUMIFS(Furnitura!$E$5:$E$400,Furnitura!$B$5:$B$400,M$4,Furnitura!$C$5:$C$400,$C32)</f>
        <v>0</v>
      </c>
      <c r="N32" s="69">
        <f t="shared" si="0"/>
        <v>1.0580000000000001</v>
      </c>
      <c r="O32" s="70">
        <v>0.15</v>
      </c>
      <c r="P32" s="69">
        <f t="shared" si="1"/>
        <v>1.2166999999999999</v>
      </c>
      <c r="Q32" s="71" t="s">
        <v>200</v>
      </c>
      <c r="R32" s="72">
        <v>40000</v>
      </c>
      <c r="S32" s="9">
        <f t="shared" si="2"/>
        <v>40000</v>
      </c>
      <c r="T32" s="9">
        <f t="shared" si="3"/>
        <v>48667.999999999993</v>
      </c>
      <c r="U32" s="73">
        <f t="shared" si="4"/>
        <v>4.0682103151383426</v>
      </c>
      <c r="V32" s="74"/>
    </row>
    <row r="33" spans="1:22" x14ac:dyDescent="0.25">
      <c r="A33" s="27">
        <v>29</v>
      </c>
      <c r="B33" s="25" t="s">
        <v>79</v>
      </c>
      <c r="C33" s="25" t="s">
        <v>242</v>
      </c>
      <c r="D33" s="27" t="s">
        <v>48</v>
      </c>
      <c r="E33" s="75">
        <f>SUMIFS(Furnitura!$E$5:$E$400,Furnitura!$B$5:$B$400,E$4,Furnitura!$C$5:$C$400,$C33)</f>
        <v>0</v>
      </c>
      <c r="F33" s="75">
        <f>SUMIFS(Furnitura!$E$5:$E$400,Furnitura!$B$5:$B$400,F$4,Furnitura!$C$5:$C$400,$C33)</f>
        <v>0</v>
      </c>
      <c r="G33" s="75">
        <f>SUMIFS(Furnitura!$E$5:$E$400,Furnitura!$B$5:$B$400,G$4,Furnitura!$C$5:$C$400,$C33)</f>
        <v>0</v>
      </c>
      <c r="H33" s="75">
        <f>SUMIFS(Furnitura!$E$5:$E$400,Furnitura!$B$5:$B$400,H$4,Furnitura!$C$5:$C$400,$C33)</f>
        <v>0</v>
      </c>
      <c r="I33" s="75">
        <f>SUMIFS(Furnitura!$E$5:$E$400,Furnitura!$B$5:$B$400,I$4,Furnitura!$C$5:$C$400,$C33)</f>
        <v>0</v>
      </c>
      <c r="J33" s="75">
        <f>SUMIFS(Furnitura!$E$5:$E$400,Furnitura!$B$5:$B$400,J$4,Furnitura!$C$5:$C$400,$C33)</f>
        <v>0</v>
      </c>
      <c r="K33" s="75">
        <f>SUMIFS(Furnitura!$E$5:$E$400,Furnitura!$B$5:$B$400,K$4,Furnitura!$C$5:$C$400,$C33)</f>
        <v>4</v>
      </c>
      <c r="L33" s="75">
        <f>SUMIFS(Furnitura!$E$5:$E$400,Furnitura!$B$5:$B$400,L$4,Furnitura!$C$5:$C$400,$C33)</f>
        <v>0</v>
      </c>
      <c r="M33" s="75">
        <f>SUMIFS(Furnitura!$E$5:$E$400,Furnitura!$B$5:$B$400,M$4,Furnitura!$C$5:$C$400,$C33)</f>
        <v>0</v>
      </c>
      <c r="N33" s="45">
        <f t="shared" si="0"/>
        <v>4</v>
      </c>
      <c r="O33" s="70">
        <v>0</v>
      </c>
      <c r="P33" s="45">
        <f t="shared" si="1"/>
        <v>4</v>
      </c>
      <c r="Q33" s="71" t="s">
        <v>200</v>
      </c>
      <c r="R33" s="72">
        <v>1000</v>
      </c>
      <c r="S33" s="9">
        <f t="shared" si="2"/>
        <v>1000</v>
      </c>
      <c r="T33" s="9">
        <f t="shared" si="3"/>
        <v>4000</v>
      </c>
      <c r="U33" s="73">
        <f t="shared" si="4"/>
        <v>0.33436428989383932</v>
      </c>
      <c r="V33" s="74"/>
    </row>
    <row r="34" spans="1:22" x14ac:dyDescent="0.25">
      <c r="A34" s="27">
        <v>30</v>
      </c>
      <c r="B34" s="25" t="s">
        <v>79</v>
      </c>
      <c r="C34" s="25" t="s">
        <v>243</v>
      </c>
      <c r="D34" s="27" t="s">
        <v>48</v>
      </c>
      <c r="E34" s="75">
        <f>SUMIFS(Furnitura!$E$5:$E$400,Furnitura!$B$5:$B$400,E$4,Furnitura!$C$5:$C$400,$C34)</f>
        <v>0</v>
      </c>
      <c r="F34" s="75">
        <f>SUMIFS(Furnitura!$E$5:$E$400,Furnitura!$B$5:$B$400,F$4,Furnitura!$C$5:$C$400,$C34)</f>
        <v>0</v>
      </c>
      <c r="G34" s="75">
        <f>SUMIFS(Furnitura!$E$5:$E$400,Furnitura!$B$5:$B$400,G$4,Furnitura!$C$5:$C$400,$C34)</f>
        <v>0</v>
      </c>
      <c r="H34" s="75">
        <f>SUMIFS(Furnitura!$E$5:$E$400,Furnitura!$B$5:$B$400,H$4,Furnitura!$C$5:$C$400,$C34)</f>
        <v>0</v>
      </c>
      <c r="I34" s="75">
        <f>SUMIFS(Furnitura!$E$5:$E$400,Furnitura!$B$5:$B$400,I$4,Furnitura!$C$5:$C$400,$C34)</f>
        <v>0</v>
      </c>
      <c r="J34" s="75">
        <f>SUMIFS(Furnitura!$E$5:$E$400,Furnitura!$B$5:$B$400,J$4,Furnitura!$C$5:$C$400,$C34)</f>
        <v>0</v>
      </c>
      <c r="K34" s="75">
        <f>SUMIFS(Furnitura!$E$5:$E$400,Furnitura!$B$5:$B$400,K$4,Furnitura!$C$5:$C$400,$C34)</f>
        <v>150</v>
      </c>
      <c r="L34" s="75">
        <f>SUMIFS(Furnitura!$E$5:$E$400,Furnitura!$B$5:$B$400,L$4,Furnitura!$C$5:$C$400,$C34)</f>
        <v>0</v>
      </c>
      <c r="M34" s="75">
        <f>SUMIFS(Furnitura!$E$5:$E$400,Furnitura!$B$5:$B$400,M$4,Furnitura!$C$5:$C$400,$C34)</f>
        <v>0</v>
      </c>
      <c r="N34" s="45">
        <f t="shared" si="0"/>
        <v>150</v>
      </c>
      <c r="O34" s="70">
        <v>0</v>
      </c>
      <c r="P34" s="45">
        <f t="shared" si="1"/>
        <v>150</v>
      </c>
      <c r="Q34" s="71" t="s">
        <v>200</v>
      </c>
      <c r="R34" s="72">
        <v>100</v>
      </c>
      <c r="S34" s="9">
        <f t="shared" si="2"/>
        <v>100</v>
      </c>
      <c r="T34" s="9">
        <f t="shared" si="3"/>
        <v>15000</v>
      </c>
      <c r="U34" s="73">
        <f t="shared" si="4"/>
        <v>1.2538660871018976</v>
      </c>
      <c r="V34" s="74"/>
    </row>
    <row r="35" spans="1:22" x14ac:dyDescent="0.25">
      <c r="A35" s="27">
        <v>31</v>
      </c>
      <c r="B35" s="25" t="s">
        <v>79</v>
      </c>
      <c r="C35" s="25" t="s">
        <v>244</v>
      </c>
      <c r="D35" s="27" t="s">
        <v>245</v>
      </c>
      <c r="E35" s="68">
        <f>SUMIFS(Furnitura!$E$5:$E$400,Furnitura!$B$5:$B$400,E$4,Furnitura!$C$5:$C$400,$C35)</f>
        <v>0</v>
      </c>
      <c r="F35" s="68">
        <f>SUMIFS(Furnitura!$E$5:$E$400,Furnitura!$B$5:$B$400,F$4,Furnitura!$C$5:$C$400,$C35)</f>
        <v>0</v>
      </c>
      <c r="G35" s="68">
        <f>SUMIFS(Furnitura!$E$5:$E$400,Furnitura!$B$5:$B$400,G$4,Furnitura!$C$5:$C$400,$C35)</f>
        <v>0</v>
      </c>
      <c r="H35" s="68">
        <f>SUMIFS(Furnitura!$E$5:$E$400,Furnitura!$B$5:$B$400,H$4,Furnitura!$C$5:$C$400,$C35)</f>
        <v>0</v>
      </c>
      <c r="I35" s="68">
        <f>SUMIFS(Furnitura!$E$5:$E$400,Furnitura!$B$5:$B$400,I$4,Furnitura!$C$5:$C$400,$C35)</f>
        <v>0</v>
      </c>
      <c r="J35" s="68">
        <f>SUMIFS(Furnitura!$E$5:$E$400,Furnitura!$B$5:$B$400,J$4,Furnitura!$C$5:$C$400,$C35)</f>
        <v>0</v>
      </c>
      <c r="K35" s="68">
        <f>SUMIFS(Furnitura!$E$5:$E$400,Furnitura!$B$5:$B$400,K$4,Furnitura!$C$5:$C$400,$C35)</f>
        <v>0.1</v>
      </c>
      <c r="L35" s="68">
        <f>SUMIFS(Furnitura!$E$5:$E$400,Furnitura!$B$5:$B$400,L$4,Furnitura!$C$5:$C$400,$C35)</f>
        <v>0</v>
      </c>
      <c r="M35" s="68">
        <f>SUMIFS(Furnitura!$E$5:$E$400,Furnitura!$B$5:$B$400,M$4,Furnitura!$C$5:$C$400,$C35)</f>
        <v>0</v>
      </c>
      <c r="N35" s="69">
        <f t="shared" si="0"/>
        <v>0.1</v>
      </c>
      <c r="O35" s="70">
        <v>0</v>
      </c>
      <c r="P35" s="69">
        <f t="shared" si="1"/>
        <v>0.1</v>
      </c>
      <c r="Q35" s="71" t="s">
        <v>200</v>
      </c>
      <c r="R35" s="72">
        <v>25000</v>
      </c>
      <c r="S35" s="9">
        <f t="shared" si="2"/>
        <v>25000</v>
      </c>
      <c r="T35" s="9">
        <f t="shared" si="3"/>
        <v>2500</v>
      </c>
      <c r="U35" s="73">
        <f t="shared" si="4"/>
        <v>0.20897768118364959</v>
      </c>
      <c r="V35" s="74"/>
    </row>
    <row r="36" spans="1:22" x14ac:dyDescent="0.25">
      <c r="A36" s="27">
        <v>32</v>
      </c>
      <c r="B36" s="25" t="s">
        <v>246</v>
      </c>
      <c r="C36" s="25" t="s">
        <v>247</v>
      </c>
      <c r="D36" s="27" t="s">
        <v>248</v>
      </c>
      <c r="E36" s="75">
        <f>SUMIFS(Furnitura!$E$5:$E$400,Furnitura!$B$5:$B$400,E$4,Furnitura!$C$5:$C$400,$C36)</f>
        <v>1</v>
      </c>
      <c r="F36" s="75">
        <f>SUMIFS(Furnitura!$E$5:$E$400,Furnitura!$B$5:$B$400,F$4,Furnitura!$C$5:$C$400,$C36)</f>
        <v>0</v>
      </c>
      <c r="G36" s="75">
        <f>SUMIFS(Furnitura!$E$5:$E$400,Furnitura!$B$5:$B$400,G$4,Furnitura!$C$5:$C$400,$C36)</f>
        <v>0</v>
      </c>
      <c r="H36" s="75">
        <f>SUMIFS(Furnitura!$E$5:$E$400,Furnitura!$B$5:$B$400,H$4,Furnitura!$C$5:$C$400,$C36)</f>
        <v>0</v>
      </c>
      <c r="I36" s="75">
        <f>SUMIFS(Furnitura!$E$5:$E$400,Furnitura!$B$5:$B$400,I$4,Furnitura!$C$5:$C$400,$C36)</f>
        <v>0</v>
      </c>
      <c r="J36" s="75">
        <f>SUMIFS(Furnitura!$E$5:$E$400,Furnitura!$B$5:$B$400,J$4,Furnitura!$C$5:$C$400,$C36)</f>
        <v>0</v>
      </c>
      <c r="K36" s="75">
        <f>SUMIFS(Furnitura!$E$5:$E$400,Furnitura!$B$5:$B$400,K$4,Furnitura!$C$5:$C$400,$C36)</f>
        <v>0</v>
      </c>
      <c r="L36" s="75">
        <f>SUMIFS(Furnitura!$E$5:$E$400,Furnitura!$B$5:$B$400,L$4,Furnitura!$C$5:$C$400,$C36)</f>
        <v>1</v>
      </c>
      <c r="M36" s="75">
        <f>SUMIFS(Furnitura!$E$5:$E$400,Furnitura!$B$5:$B$400,M$4,Furnitura!$C$5:$C$400,$C36)</f>
        <v>0</v>
      </c>
      <c r="N36" s="45">
        <f t="shared" si="0"/>
        <v>2</v>
      </c>
      <c r="O36" s="70">
        <v>0</v>
      </c>
      <c r="P36" s="45">
        <f t="shared" si="1"/>
        <v>2</v>
      </c>
      <c r="Q36" s="71" t="s">
        <v>200</v>
      </c>
      <c r="R36" s="72">
        <v>50000</v>
      </c>
      <c r="S36" s="9">
        <f t="shared" si="2"/>
        <v>50000</v>
      </c>
      <c r="T36" s="9">
        <f t="shared" si="3"/>
        <v>100000</v>
      </c>
      <c r="U36" s="73">
        <f t="shared" si="4"/>
        <v>8.3591072473459835</v>
      </c>
      <c r="V36" s="74"/>
    </row>
    <row r="37" spans="1:22" x14ac:dyDescent="0.25">
      <c r="A37" s="27">
        <v>33</v>
      </c>
      <c r="B37" s="25" t="s">
        <v>246</v>
      </c>
      <c r="C37" s="25" t="s">
        <v>249</v>
      </c>
      <c r="D37" s="27" t="s">
        <v>48</v>
      </c>
      <c r="E37" s="75">
        <f>SUMIFS(Furnitura!$E$5:$E$400,Furnitura!$B$5:$B$400,E$4,Furnitura!$C$5:$C$400,$C37)</f>
        <v>0</v>
      </c>
      <c r="F37" s="75">
        <f>SUMIFS(Furnitura!$E$5:$E$400,Furnitura!$B$5:$B$400,F$4,Furnitura!$C$5:$C$400,$C37)</f>
        <v>0</v>
      </c>
      <c r="G37" s="75">
        <f>SUMIFS(Furnitura!$E$5:$E$400,Furnitura!$B$5:$B$400,G$4,Furnitura!$C$5:$C$400,$C37)</f>
        <v>0</v>
      </c>
      <c r="H37" s="75">
        <f>SUMIFS(Furnitura!$E$5:$E$400,Furnitura!$B$5:$B$400,H$4,Furnitura!$C$5:$C$400,$C37)</f>
        <v>0</v>
      </c>
      <c r="I37" s="75">
        <f>SUMIFS(Furnitura!$E$5:$E$400,Furnitura!$B$5:$B$400,I$4,Furnitura!$C$5:$C$400,$C37)</f>
        <v>0</v>
      </c>
      <c r="J37" s="75">
        <f>SUMIFS(Furnitura!$E$5:$E$400,Furnitura!$B$5:$B$400,J$4,Furnitura!$C$5:$C$400,$C37)</f>
        <v>0</v>
      </c>
      <c r="K37" s="75">
        <f>SUMIFS(Furnitura!$E$5:$E$400,Furnitura!$B$5:$B$400,K$4,Furnitura!$C$5:$C$400,$C37)</f>
        <v>0</v>
      </c>
      <c r="L37" s="75">
        <f>SUMIFS(Furnitura!$E$5:$E$400,Furnitura!$B$5:$B$400,L$4,Furnitura!$C$5:$C$400,$C37)</f>
        <v>2</v>
      </c>
      <c r="M37" s="75">
        <f>SUMIFS(Furnitura!$E$5:$E$400,Furnitura!$B$5:$B$400,M$4,Furnitura!$C$5:$C$400,$C37)</f>
        <v>0</v>
      </c>
      <c r="N37" s="45">
        <f t="shared" si="0"/>
        <v>2</v>
      </c>
      <c r="O37" s="70">
        <v>0</v>
      </c>
      <c r="P37" s="45">
        <f t="shared" si="1"/>
        <v>2</v>
      </c>
      <c r="Q37" s="71" t="s">
        <v>200</v>
      </c>
      <c r="R37" s="72">
        <v>32000</v>
      </c>
      <c r="S37" s="9">
        <f t="shared" si="2"/>
        <v>32000</v>
      </c>
      <c r="T37" s="9">
        <f t="shared" si="3"/>
        <v>64000</v>
      </c>
      <c r="U37" s="73">
        <f t="shared" si="4"/>
        <v>5.3498286383014291</v>
      </c>
      <c r="V37" s="74"/>
    </row>
    <row r="38" spans="1:22" x14ac:dyDescent="0.25">
      <c r="A38" s="27">
        <v>34</v>
      </c>
      <c r="B38" s="25" t="s">
        <v>250</v>
      </c>
      <c r="C38" s="25" t="s">
        <v>251</v>
      </c>
      <c r="D38" s="27" t="s">
        <v>48</v>
      </c>
      <c r="E38" s="75">
        <f>SUMIFS(Furnitura!$E$5:$E$400,Furnitura!$B$5:$B$400,E$4,Furnitura!$C$5:$C$400,$C38)</f>
        <v>0</v>
      </c>
      <c r="F38" s="75">
        <f>SUMIFS(Furnitura!$E$5:$E$400,Furnitura!$B$5:$B$400,F$4,Furnitura!$C$5:$C$400,$C38)</f>
        <v>0</v>
      </c>
      <c r="G38" s="75">
        <f>SUMIFS(Furnitura!$E$5:$E$400,Furnitura!$B$5:$B$400,G$4,Furnitura!$C$5:$C$400,$C38)</f>
        <v>1</v>
      </c>
      <c r="H38" s="75">
        <f>SUMIFS(Furnitura!$E$5:$E$400,Furnitura!$B$5:$B$400,H$4,Furnitura!$C$5:$C$400,$C38)</f>
        <v>0</v>
      </c>
      <c r="I38" s="75">
        <f>SUMIFS(Furnitura!$E$5:$E$400,Furnitura!$B$5:$B$400,I$4,Furnitura!$C$5:$C$400,$C38)</f>
        <v>0</v>
      </c>
      <c r="J38" s="75">
        <f>SUMIFS(Furnitura!$E$5:$E$400,Furnitura!$B$5:$B$400,J$4,Furnitura!$C$5:$C$400,$C38)</f>
        <v>0</v>
      </c>
      <c r="K38" s="75">
        <f>SUMIFS(Furnitura!$E$5:$E$400,Furnitura!$B$5:$B$400,K$4,Furnitura!$C$5:$C$400,$C38)</f>
        <v>0</v>
      </c>
      <c r="L38" s="75">
        <f>SUMIFS(Furnitura!$E$5:$E$400,Furnitura!$B$5:$B$400,L$4,Furnitura!$C$5:$C$400,$C38)</f>
        <v>0</v>
      </c>
      <c r="M38" s="75">
        <f>SUMIFS(Furnitura!$E$5:$E$400,Furnitura!$B$5:$B$400,M$4,Furnitura!$C$5:$C$400,$C38)</f>
        <v>0</v>
      </c>
      <c r="N38" s="45">
        <f t="shared" si="0"/>
        <v>1</v>
      </c>
      <c r="O38" s="70">
        <v>0</v>
      </c>
      <c r="P38" s="45">
        <f t="shared" si="1"/>
        <v>1</v>
      </c>
      <c r="Q38" s="71" t="s">
        <v>252</v>
      </c>
      <c r="R38" s="77">
        <f>IFERROR(INDEX(Sozlamalar!$C$21:$C$24,MATCH(p_matras,Sozlamalar!$E$21:$E$24,0)),0)</f>
        <v>1200000</v>
      </c>
      <c r="S38" s="9">
        <f t="shared" si="2"/>
        <v>1200000</v>
      </c>
      <c r="T38" s="9">
        <f t="shared" si="3"/>
        <v>1200000</v>
      </c>
      <c r="U38" s="73">
        <f t="shared" si="4"/>
        <v>100.3092869681518</v>
      </c>
      <c r="V38" s="74" t="s">
        <v>253</v>
      </c>
    </row>
    <row r="39" spans="1:22" x14ac:dyDescent="0.25">
      <c r="A39" s="27">
        <v>35</v>
      </c>
      <c r="B39" s="25" t="s">
        <v>91</v>
      </c>
      <c r="C39" s="25" t="s">
        <v>254</v>
      </c>
      <c r="D39" s="27" t="s">
        <v>152</v>
      </c>
      <c r="E39" s="68">
        <f>SUMIFS(Furnitura!$E$5:$E$400,Furnitura!$B$5:$B$400,E$4,Furnitura!$C$5:$C$400,$C39)</f>
        <v>0</v>
      </c>
      <c r="F39" s="68">
        <f>SUMIFS(Furnitura!$E$5:$E$400,Furnitura!$B$5:$B$400,F$4,Furnitura!$C$5:$C$400,$C39)</f>
        <v>0</v>
      </c>
      <c r="G39" s="68">
        <f>SUMIFS(Furnitura!$E$5:$E$400,Furnitura!$B$5:$B$400,G$4,Furnitura!$C$5:$C$400,$C39)</f>
        <v>0</v>
      </c>
      <c r="H39" s="68">
        <f>SUMIFS(Furnitura!$E$5:$E$400,Furnitura!$B$5:$B$400,H$4,Furnitura!$C$5:$C$400,$C39)</f>
        <v>0</v>
      </c>
      <c r="I39" s="68">
        <f>SUMIFS(Furnitura!$E$5:$E$400,Furnitura!$B$5:$B$400,I$4,Furnitura!$C$5:$C$400,$C39)</f>
        <v>0</v>
      </c>
      <c r="J39" s="68">
        <f>SUMIFS(Furnitura!$E$5:$E$400,Furnitura!$B$5:$B$400,J$4,Furnitura!$C$5:$C$400,$C39)</f>
        <v>0</v>
      </c>
      <c r="K39" s="68">
        <f>SUMIFS(Furnitura!$E$5:$E$400,Furnitura!$B$5:$B$400,K$4,Furnitura!$C$5:$C$400,$C39)</f>
        <v>0</v>
      </c>
      <c r="L39" s="68">
        <f>SUMIFS(Furnitura!$E$5:$E$400,Furnitura!$B$5:$B$400,L$4,Furnitura!$C$5:$C$400,$C39)</f>
        <v>0</v>
      </c>
      <c r="M39" s="68">
        <f>SUMIFS(Furnitura!$E$5:$E$400,Furnitura!$B$5:$B$400,M$4,Furnitura!$C$5:$C$400,$C39)</f>
        <v>19.5</v>
      </c>
      <c r="N39" s="69">
        <f t="shared" si="0"/>
        <v>19.5</v>
      </c>
      <c r="O39" s="70">
        <v>0</v>
      </c>
      <c r="P39" s="69">
        <f t="shared" si="1"/>
        <v>19.5</v>
      </c>
      <c r="Q39" s="71" t="s">
        <v>252</v>
      </c>
      <c r="R39" s="72">
        <v>10000</v>
      </c>
      <c r="S39" s="9">
        <f t="shared" si="2"/>
        <v>10000</v>
      </c>
      <c r="T39" s="9">
        <f t="shared" si="3"/>
        <v>195000</v>
      </c>
      <c r="U39" s="73">
        <f t="shared" si="4"/>
        <v>16.300259132324669</v>
      </c>
      <c r="V39" s="74" t="s">
        <v>255</v>
      </c>
    </row>
    <row r="40" spans="1:22" x14ac:dyDescent="0.25">
      <c r="A40" s="27">
        <v>36</v>
      </c>
      <c r="B40" s="25" t="s">
        <v>91</v>
      </c>
      <c r="C40" s="25" t="s">
        <v>256</v>
      </c>
      <c r="D40" s="27" t="s">
        <v>257</v>
      </c>
      <c r="E40" s="75">
        <f>SUMIFS(Furnitura!$E$5:$E$400,Furnitura!$B$5:$B$400,E$4,Furnitura!$C$5:$C$400,$C40)</f>
        <v>0</v>
      </c>
      <c r="F40" s="75">
        <f>SUMIFS(Furnitura!$E$5:$E$400,Furnitura!$B$5:$B$400,F$4,Furnitura!$C$5:$C$400,$C40)</f>
        <v>0</v>
      </c>
      <c r="G40" s="75">
        <f>SUMIFS(Furnitura!$E$5:$E$400,Furnitura!$B$5:$B$400,G$4,Furnitura!$C$5:$C$400,$C40)</f>
        <v>0</v>
      </c>
      <c r="H40" s="75">
        <f>SUMIFS(Furnitura!$E$5:$E$400,Furnitura!$B$5:$B$400,H$4,Furnitura!$C$5:$C$400,$C40)</f>
        <v>0</v>
      </c>
      <c r="I40" s="75">
        <f>SUMIFS(Furnitura!$E$5:$E$400,Furnitura!$B$5:$B$400,I$4,Furnitura!$C$5:$C$400,$C40)</f>
        <v>0</v>
      </c>
      <c r="J40" s="75">
        <f>SUMIFS(Furnitura!$E$5:$E$400,Furnitura!$B$5:$B$400,J$4,Furnitura!$C$5:$C$400,$C40)</f>
        <v>0</v>
      </c>
      <c r="K40" s="75">
        <f>SUMIFS(Furnitura!$E$5:$E$400,Furnitura!$B$5:$B$400,K$4,Furnitura!$C$5:$C$400,$C40)</f>
        <v>0</v>
      </c>
      <c r="L40" s="75">
        <f>SUMIFS(Furnitura!$E$5:$E$400,Furnitura!$B$5:$B$400,L$4,Furnitura!$C$5:$C$400,$C40)</f>
        <v>0</v>
      </c>
      <c r="M40" s="75">
        <f>SUMIFS(Furnitura!$E$5:$E$400,Furnitura!$B$5:$B$400,M$4,Furnitura!$C$5:$C$400,$C40)</f>
        <v>2</v>
      </c>
      <c r="N40" s="45">
        <f t="shared" si="0"/>
        <v>2</v>
      </c>
      <c r="O40" s="70">
        <v>0</v>
      </c>
      <c r="P40" s="45">
        <f t="shared" si="1"/>
        <v>2</v>
      </c>
      <c r="Q40" s="71" t="s">
        <v>252</v>
      </c>
      <c r="R40" s="72">
        <v>20000</v>
      </c>
      <c r="S40" s="9">
        <f t="shared" si="2"/>
        <v>20000</v>
      </c>
      <c r="T40" s="9">
        <f t="shared" si="3"/>
        <v>40000</v>
      </c>
      <c r="U40" s="73">
        <f t="shared" si="4"/>
        <v>3.3436428989383935</v>
      </c>
      <c r="V40" s="74" t="s">
        <v>255</v>
      </c>
    </row>
    <row r="41" spans="1:22" x14ac:dyDescent="0.25">
      <c r="A41" s="27">
        <v>37</v>
      </c>
      <c r="B41" s="25" t="s">
        <v>91</v>
      </c>
      <c r="C41" s="25" t="s">
        <v>258</v>
      </c>
      <c r="D41" s="27" t="s">
        <v>48</v>
      </c>
      <c r="E41" s="75">
        <f>SUMIFS(Furnitura!$E$5:$E$400,Furnitura!$B$5:$B$400,E$4,Furnitura!$C$5:$C$400,$C41)</f>
        <v>0</v>
      </c>
      <c r="F41" s="75">
        <f>SUMIFS(Furnitura!$E$5:$E$400,Furnitura!$B$5:$B$400,F$4,Furnitura!$C$5:$C$400,$C41)</f>
        <v>0</v>
      </c>
      <c r="G41" s="75">
        <f>SUMIFS(Furnitura!$E$5:$E$400,Furnitura!$B$5:$B$400,G$4,Furnitura!$C$5:$C$400,$C41)</f>
        <v>0</v>
      </c>
      <c r="H41" s="75">
        <f>SUMIFS(Furnitura!$E$5:$E$400,Furnitura!$B$5:$B$400,H$4,Furnitura!$C$5:$C$400,$C41)</f>
        <v>0</v>
      </c>
      <c r="I41" s="75">
        <f>SUMIFS(Furnitura!$E$5:$E$400,Furnitura!$B$5:$B$400,I$4,Furnitura!$C$5:$C$400,$C41)</f>
        <v>0</v>
      </c>
      <c r="J41" s="75">
        <f>SUMIFS(Furnitura!$E$5:$E$400,Furnitura!$B$5:$B$400,J$4,Furnitura!$C$5:$C$400,$C41)</f>
        <v>0</v>
      </c>
      <c r="K41" s="75">
        <f>SUMIFS(Furnitura!$E$5:$E$400,Furnitura!$B$5:$B$400,K$4,Furnitura!$C$5:$C$400,$C41)</f>
        <v>0</v>
      </c>
      <c r="L41" s="75">
        <f>SUMIFS(Furnitura!$E$5:$E$400,Furnitura!$B$5:$B$400,L$4,Furnitura!$C$5:$C$400,$C41)</f>
        <v>0</v>
      </c>
      <c r="M41" s="75">
        <f>SUMIFS(Furnitura!$E$5:$E$400,Furnitura!$B$5:$B$400,M$4,Furnitura!$C$5:$C$400,$C41)</f>
        <v>4</v>
      </c>
      <c r="N41" s="45">
        <f t="shared" si="0"/>
        <v>4</v>
      </c>
      <c r="O41" s="70">
        <v>0</v>
      </c>
      <c r="P41" s="45">
        <f t="shared" si="1"/>
        <v>4</v>
      </c>
      <c r="Q41" s="71" t="s">
        <v>252</v>
      </c>
      <c r="R41" s="72">
        <v>10000</v>
      </c>
      <c r="S41" s="9">
        <f t="shared" si="2"/>
        <v>10000</v>
      </c>
      <c r="T41" s="9">
        <f t="shared" si="3"/>
        <v>40000</v>
      </c>
      <c r="U41" s="73">
        <f t="shared" si="4"/>
        <v>3.3436428989383935</v>
      </c>
      <c r="V41" s="74" t="s">
        <v>255</v>
      </c>
    </row>
    <row r="42" spans="1:22" x14ac:dyDescent="0.25">
      <c r="A42" s="27">
        <v>38</v>
      </c>
      <c r="B42" s="25" t="s">
        <v>91</v>
      </c>
      <c r="C42" s="25" t="s">
        <v>259</v>
      </c>
      <c r="D42" s="27" t="s">
        <v>48</v>
      </c>
      <c r="E42" s="75">
        <f>SUMIFS(Furnitura!$E$5:$E$400,Furnitura!$B$5:$B$400,E$4,Furnitura!$C$5:$C$400,$C42)</f>
        <v>0</v>
      </c>
      <c r="F42" s="75">
        <f>SUMIFS(Furnitura!$E$5:$E$400,Furnitura!$B$5:$B$400,F$4,Furnitura!$C$5:$C$400,$C42)</f>
        <v>0</v>
      </c>
      <c r="G42" s="75">
        <f>SUMIFS(Furnitura!$E$5:$E$400,Furnitura!$B$5:$B$400,G$4,Furnitura!$C$5:$C$400,$C42)</f>
        <v>0</v>
      </c>
      <c r="H42" s="75">
        <f>SUMIFS(Furnitura!$E$5:$E$400,Furnitura!$B$5:$B$400,H$4,Furnitura!$C$5:$C$400,$C42)</f>
        <v>0</v>
      </c>
      <c r="I42" s="75">
        <f>SUMIFS(Furnitura!$E$5:$E$400,Furnitura!$B$5:$B$400,I$4,Furnitura!$C$5:$C$400,$C42)</f>
        <v>0</v>
      </c>
      <c r="J42" s="75">
        <f>SUMIFS(Furnitura!$E$5:$E$400,Furnitura!$B$5:$B$400,J$4,Furnitura!$C$5:$C$400,$C42)</f>
        <v>0</v>
      </c>
      <c r="K42" s="75">
        <f>SUMIFS(Furnitura!$E$5:$E$400,Furnitura!$B$5:$B$400,K$4,Furnitura!$C$5:$C$400,$C42)</f>
        <v>0</v>
      </c>
      <c r="L42" s="75">
        <f>SUMIFS(Furnitura!$E$5:$E$400,Furnitura!$B$5:$B$400,L$4,Furnitura!$C$5:$C$400,$C42)</f>
        <v>0</v>
      </c>
      <c r="M42" s="75">
        <f>SUMIFS(Furnitura!$E$5:$E$400,Furnitura!$B$5:$B$400,M$4,Furnitura!$C$5:$C$400,$C42)</f>
        <v>40</v>
      </c>
      <c r="N42" s="45">
        <f t="shared" si="0"/>
        <v>40</v>
      </c>
      <c r="O42" s="70">
        <v>0</v>
      </c>
      <c r="P42" s="45">
        <f t="shared" si="1"/>
        <v>40</v>
      </c>
      <c r="Q42" s="71" t="s">
        <v>252</v>
      </c>
      <c r="R42" s="72">
        <v>2000</v>
      </c>
      <c r="S42" s="9">
        <f t="shared" si="2"/>
        <v>2000</v>
      </c>
      <c r="T42" s="9">
        <f t="shared" si="3"/>
        <v>80000</v>
      </c>
      <c r="U42" s="73">
        <f t="shared" si="4"/>
        <v>6.687285797876787</v>
      </c>
      <c r="V42" s="74" t="s">
        <v>255</v>
      </c>
    </row>
    <row r="43" spans="1:22" ht="24" x14ac:dyDescent="0.25">
      <c r="A43" s="27">
        <v>39</v>
      </c>
      <c r="B43" s="25" t="s">
        <v>22</v>
      </c>
      <c r="C43" s="25" t="s">
        <v>260</v>
      </c>
      <c r="D43" s="27" t="s">
        <v>210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69">
        <f t="shared" si="0"/>
        <v>0</v>
      </c>
      <c r="O43" s="70">
        <v>0</v>
      </c>
      <c r="P43" s="69">
        <f t="shared" si="1"/>
        <v>0</v>
      </c>
      <c r="Q43" s="71" t="s">
        <v>200</v>
      </c>
      <c r="R43" s="72"/>
      <c r="S43" s="9">
        <f t="shared" si="2"/>
        <v>0</v>
      </c>
      <c r="T43" s="9">
        <f t="shared" si="3"/>
        <v>0</v>
      </c>
      <c r="U43" s="73">
        <f t="shared" si="4"/>
        <v>0</v>
      </c>
      <c r="V43" s="74" t="s">
        <v>261</v>
      </c>
    </row>
    <row r="44" spans="1:22" ht="24" x14ac:dyDescent="0.25">
      <c r="A44" s="27">
        <v>40</v>
      </c>
      <c r="B44" s="25" t="s">
        <v>22</v>
      </c>
      <c r="C44" s="25" t="s">
        <v>262</v>
      </c>
      <c r="D44" s="27" t="s">
        <v>234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5">
        <f t="shared" si="0"/>
        <v>0</v>
      </c>
      <c r="O44" s="70">
        <v>0</v>
      </c>
      <c r="P44" s="45">
        <f t="shared" si="1"/>
        <v>0</v>
      </c>
      <c r="Q44" s="71" t="s">
        <v>200</v>
      </c>
      <c r="R44" s="72"/>
      <c r="S44" s="9">
        <f t="shared" si="2"/>
        <v>0</v>
      </c>
      <c r="T44" s="9">
        <f t="shared" si="3"/>
        <v>0</v>
      </c>
      <c r="U44" s="73">
        <f t="shared" si="4"/>
        <v>0</v>
      </c>
      <c r="V44" s="74" t="s">
        <v>261</v>
      </c>
    </row>
    <row r="45" spans="1:22" ht="24" x14ac:dyDescent="0.25">
      <c r="A45" s="27">
        <v>41</v>
      </c>
      <c r="B45" s="25" t="s">
        <v>22</v>
      </c>
      <c r="C45" s="25" t="s">
        <v>263</v>
      </c>
      <c r="D45" s="27" t="s">
        <v>217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5">
        <f t="shared" si="0"/>
        <v>0</v>
      </c>
      <c r="O45" s="70">
        <v>0</v>
      </c>
      <c r="P45" s="45">
        <f t="shared" si="1"/>
        <v>0</v>
      </c>
      <c r="Q45" s="71" t="s">
        <v>200</v>
      </c>
      <c r="R45" s="72"/>
      <c r="S45" s="9">
        <f t="shared" si="2"/>
        <v>0</v>
      </c>
      <c r="T45" s="9">
        <f t="shared" si="3"/>
        <v>0</v>
      </c>
      <c r="U45" s="73">
        <f t="shared" si="4"/>
        <v>0</v>
      </c>
      <c r="V45" s="74" t="s">
        <v>261</v>
      </c>
    </row>
    <row r="46" spans="1:22" ht="24" x14ac:dyDescent="0.25">
      <c r="A46" s="27">
        <v>42</v>
      </c>
      <c r="B46" s="25" t="s">
        <v>22</v>
      </c>
      <c r="C46" s="25" t="s">
        <v>264</v>
      </c>
      <c r="D46" s="27" t="s">
        <v>48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5">
        <f t="shared" si="0"/>
        <v>0</v>
      </c>
      <c r="O46" s="70">
        <v>0</v>
      </c>
      <c r="P46" s="45">
        <f t="shared" si="1"/>
        <v>0</v>
      </c>
      <c r="Q46" s="71" t="s">
        <v>200</v>
      </c>
      <c r="R46" s="72"/>
      <c r="S46" s="9">
        <f t="shared" si="2"/>
        <v>0</v>
      </c>
      <c r="T46" s="9">
        <f t="shared" si="3"/>
        <v>0</v>
      </c>
      <c r="U46" s="73">
        <f t="shared" si="4"/>
        <v>0</v>
      </c>
      <c r="V46" s="74" t="s">
        <v>261</v>
      </c>
    </row>
    <row r="47" spans="1:22" x14ac:dyDescent="0.25">
      <c r="A47" s="27">
        <v>43</v>
      </c>
      <c r="B47" s="25" t="s">
        <v>265</v>
      </c>
      <c r="C47" s="25" t="s">
        <v>266</v>
      </c>
      <c r="D47" s="27" t="s">
        <v>210</v>
      </c>
      <c r="E47" s="68">
        <f>SUMIFS(Furnitura!$E$5:$E$400,Furnitura!$B$5:$B$400,E$4,Furnitura!$C$5:$C$400,$C47)</f>
        <v>8.4</v>
      </c>
      <c r="F47" s="68">
        <f>SUMIFS(Furnitura!$E$5:$E$400,Furnitura!$B$5:$B$400,F$4,Furnitura!$C$5:$C$400,$C47)</f>
        <v>0</v>
      </c>
      <c r="G47" s="68">
        <f>SUMIFS(Furnitura!$E$5:$E$400,Furnitura!$B$5:$B$400,G$4,Furnitura!$C$5:$C$400,$C47)</f>
        <v>0</v>
      </c>
      <c r="H47" s="68">
        <f>SUMIFS(Furnitura!$E$5:$E$400,Furnitura!$B$5:$B$400,H$4,Furnitura!$C$5:$C$400,$C47)</f>
        <v>0</v>
      </c>
      <c r="I47" s="68">
        <f>SUMIFS(Furnitura!$E$5:$E$400,Furnitura!$B$5:$B$400,I$4,Furnitura!$C$5:$C$400,$C47)</f>
        <v>0</v>
      </c>
      <c r="J47" s="68">
        <f>SUMIFS(Furnitura!$E$5:$E$400,Furnitura!$B$5:$B$400,J$4,Furnitura!$C$5:$C$400,$C47)</f>
        <v>0</v>
      </c>
      <c r="K47" s="68">
        <f>SUMIFS(Furnitura!$E$5:$E$400,Furnitura!$B$5:$B$400,K$4,Furnitura!$C$5:$C$400,$C47)</f>
        <v>0</v>
      </c>
      <c r="L47" s="68">
        <f>SUMIFS(Furnitura!$E$5:$E$400,Furnitura!$B$5:$B$400,L$4,Furnitura!$C$5:$C$400,$C47)</f>
        <v>4.2</v>
      </c>
      <c r="M47" s="68">
        <f>SUMIFS(Furnitura!$E$5:$E$400,Furnitura!$B$5:$B$400,M$4,Furnitura!$C$5:$C$400,$C47)</f>
        <v>0</v>
      </c>
      <c r="N47" s="69">
        <f t="shared" si="0"/>
        <v>12.600000000000001</v>
      </c>
      <c r="O47" s="70">
        <v>0</v>
      </c>
      <c r="P47" s="69">
        <f t="shared" si="1"/>
        <v>12.600000000000001</v>
      </c>
      <c r="Q47" s="71" t="s">
        <v>252</v>
      </c>
      <c r="R47" s="72">
        <v>5000</v>
      </c>
      <c r="S47" s="9">
        <f t="shared" si="2"/>
        <v>5000</v>
      </c>
      <c r="T47" s="9">
        <f t="shared" si="3"/>
        <v>63000.000000000007</v>
      </c>
      <c r="U47" s="73">
        <f t="shared" si="4"/>
        <v>5.2662375658279705</v>
      </c>
      <c r="V47" s="74"/>
    </row>
    <row r="48" spans="1:22" x14ac:dyDescent="0.25">
      <c r="A48" s="27">
        <v>44</v>
      </c>
      <c r="B48" s="25" t="s">
        <v>265</v>
      </c>
      <c r="C48" s="25" t="s">
        <v>267</v>
      </c>
      <c r="D48" s="27" t="s">
        <v>210</v>
      </c>
      <c r="E48" s="68">
        <f>SUMIFS(Furnitura!$E$5:$E$400,Furnitura!$B$5:$B$400,E$4,Furnitura!$C$5:$C$400,$C48)</f>
        <v>0</v>
      </c>
      <c r="F48" s="68">
        <f>SUMIFS(Furnitura!$E$5:$E$400,Furnitura!$B$5:$B$400,F$4,Furnitura!$C$5:$C$400,$C48)</f>
        <v>6.6000000000000005</v>
      </c>
      <c r="G48" s="68">
        <f>SUMIFS(Furnitura!$E$5:$E$400,Furnitura!$B$5:$B$400,G$4,Furnitura!$C$5:$C$400,$C48)</f>
        <v>0</v>
      </c>
      <c r="H48" s="68">
        <f>SUMIFS(Furnitura!$E$5:$E$400,Furnitura!$B$5:$B$400,H$4,Furnitura!$C$5:$C$400,$C48)</f>
        <v>0</v>
      </c>
      <c r="I48" s="68">
        <f>SUMIFS(Furnitura!$E$5:$E$400,Furnitura!$B$5:$B$400,I$4,Furnitura!$C$5:$C$400,$C48)</f>
        <v>0</v>
      </c>
      <c r="J48" s="68">
        <f>SUMIFS(Furnitura!$E$5:$E$400,Furnitura!$B$5:$B$400,J$4,Furnitura!$C$5:$C$400,$C48)</f>
        <v>0</v>
      </c>
      <c r="K48" s="68">
        <f>SUMIFS(Furnitura!$E$5:$E$400,Furnitura!$B$5:$B$400,K$4,Furnitura!$C$5:$C$400,$C48)</f>
        <v>0</v>
      </c>
      <c r="L48" s="68">
        <f>SUMIFS(Furnitura!$E$5:$E$400,Furnitura!$B$5:$B$400,L$4,Furnitura!$C$5:$C$400,$C48)</f>
        <v>0</v>
      </c>
      <c r="M48" s="68">
        <f>SUMIFS(Furnitura!$E$5:$E$400,Furnitura!$B$5:$B$400,M$4,Furnitura!$C$5:$C$400,$C48)</f>
        <v>0</v>
      </c>
      <c r="N48" s="69">
        <f t="shared" si="0"/>
        <v>6.6000000000000005</v>
      </c>
      <c r="O48" s="70">
        <v>0</v>
      </c>
      <c r="P48" s="69">
        <f t="shared" si="1"/>
        <v>6.6000000000000005</v>
      </c>
      <c r="Q48" s="71" t="s">
        <v>252</v>
      </c>
      <c r="R48" s="72"/>
      <c r="S48" s="9">
        <f t="shared" si="2"/>
        <v>0</v>
      </c>
      <c r="T48" s="9">
        <f t="shared" si="3"/>
        <v>0</v>
      </c>
      <c r="U48" s="73">
        <f t="shared" si="4"/>
        <v>0</v>
      </c>
      <c r="V48" s="74" t="s">
        <v>268</v>
      </c>
    </row>
    <row r="49" spans="1:22" ht="24" x14ac:dyDescent="0.25">
      <c r="A49" s="27">
        <v>45</v>
      </c>
      <c r="B49" s="25" t="s">
        <v>265</v>
      </c>
      <c r="C49" s="25" t="s">
        <v>269</v>
      </c>
      <c r="D49" s="27" t="s">
        <v>199</v>
      </c>
      <c r="E49" s="42">
        <f t="shared" ref="E49:M49" si="5">E5+E6+E7</f>
        <v>2.7726000690131123</v>
      </c>
      <c r="F49" s="42">
        <f t="shared" si="5"/>
        <v>1.7910744718337019</v>
      </c>
      <c r="G49" s="42">
        <f t="shared" si="5"/>
        <v>0</v>
      </c>
      <c r="H49" s="42">
        <f t="shared" si="5"/>
        <v>0.29118875086266388</v>
      </c>
      <c r="I49" s="42">
        <f t="shared" si="5"/>
        <v>0.92537991718426515</v>
      </c>
      <c r="J49" s="42">
        <f t="shared" si="5"/>
        <v>0.69172325741890961</v>
      </c>
      <c r="K49" s="42">
        <f t="shared" si="5"/>
        <v>0.12035886818495514</v>
      </c>
      <c r="L49" s="42">
        <f t="shared" si="5"/>
        <v>0.23809523809523805</v>
      </c>
      <c r="M49" s="42">
        <f t="shared" si="5"/>
        <v>0</v>
      </c>
      <c r="N49" s="69">
        <f t="shared" si="0"/>
        <v>6.8304205725928462</v>
      </c>
      <c r="O49" s="78">
        <f>O5</f>
        <v>0.15</v>
      </c>
      <c r="P49" s="69">
        <f t="shared" si="1"/>
        <v>7.8549836584817729</v>
      </c>
      <c r="Q49" s="71" t="s">
        <v>252</v>
      </c>
      <c r="R49" s="72">
        <v>35000</v>
      </c>
      <c r="S49" s="9">
        <f t="shared" si="2"/>
        <v>35000</v>
      </c>
      <c r="T49" s="9">
        <f t="shared" si="3"/>
        <v>274924.42804686207</v>
      </c>
      <c r="U49" s="73">
        <f t="shared" si="4"/>
        <v>22.981227789589742</v>
      </c>
      <c r="V49" s="74" t="s">
        <v>270</v>
      </c>
    </row>
    <row r="51" spans="1:22" x14ac:dyDescent="0.25">
      <c r="A51" s="13"/>
      <c r="B51" s="13"/>
      <c r="C51" s="43" t="s">
        <v>271</v>
      </c>
      <c r="D51" s="13"/>
      <c r="E51" s="38">
        <f t="shared" ref="E51:M51" si="6">SUMPRODUCT(E$5:E$49,1+$O$5:$O$49,$S$5:$S$49)</f>
        <v>3059238.9727591034</v>
      </c>
      <c r="F51" s="38">
        <f t="shared" si="6"/>
        <v>1182540.8046341636</v>
      </c>
      <c r="G51" s="38">
        <f t="shared" si="6"/>
        <v>1200000</v>
      </c>
      <c r="H51" s="38">
        <f t="shared" si="6"/>
        <v>578169.10965965618</v>
      </c>
      <c r="I51" s="38">
        <f t="shared" si="6"/>
        <v>1382242.7677951509</v>
      </c>
      <c r="J51" s="38">
        <f t="shared" si="6"/>
        <v>1301468.4574773079</v>
      </c>
      <c r="K51" s="38">
        <f t="shared" si="6"/>
        <v>185309.21994152851</v>
      </c>
      <c r="L51" s="38">
        <f t="shared" si="6"/>
        <v>411547.14285714278</v>
      </c>
      <c r="M51" s="38">
        <f t="shared" si="6"/>
        <v>355000</v>
      </c>
      <c r="N51" s="38">
        <f>SUM(E51:M51)</f>
        <v>9655516.4751240537</v>
      </c>
      <c r="O51" s="13"/>
      <c r="P51" s="13"/>
      <c r="Q51" s="13"/>
      <c r="R51" s="13"/>
      <c r="S51" s="13"/>
      <c r="T51" s="38">
        <f>SUM(T5:T49)</f>
        <v>9655516.4751240537</v>
      </c>
      <c r="U51" s="13"/>
      <c r="V51" s="79" t="str">
        <f>IF(ABS(N51-T51)&lt;1,"Tekshiruv: OK","Tekshiruv: FARQ BOR")</f>
        <v>Tekshiruv: OK</v>
      </c>
    </row>
    <row r="52" spans="1:22" x14ac:dyDescent="0.25">
      <c r="C52" s="25" t="s">
        <v>272</v>
      </c>
      <c r="D52" s="80">
        <f>COUNTIFS($N$5:$N$49,"&gt;0",$S$5:$S$49,0)</f>
        <v>3</v>
      </c>
    </row>
  </sheetData>
  <autoFilter ref="A4:V49"/>
  <dataValidations count="1">
    <dataValidation type="list" sqref="Q5:Q49">
      <formula1>"So'm (kursga bog'liq),So'm (qat'iy),Dollar"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ColWidth="8.7109375" defaultRowHeight="15" x14ac:dyDescent="0.25"/>
  <cols>
    <col min="1" max="1" width="5" customWidth="1"/>
    <col min="2" max="2" width="14" customWidth="1"/>
    <col min="3" max="3" width="44" customWidth="1"/>
    <col min="4" max="4" width="9" customWidth="1"/>
    <col min="5" max="10" width="11" customWidth="1"/>
    <col min="11" max="11" width="9" customWidth="1"/>
    <col min="12" max="12" width="11" customWidth="1"/>
    <col min="13" max="13" width="19" customWidth="1"/>
    <col min="14" max="14" width="13" customWidth="1"/>
    <col min="15" max="15" width="14" customWidth="1"/>
    <col min="16" max="16" width="15" customWidth="1"/>
    <col min="17" max="17" width="12" customWidth="1"/>
    <col min="18" max="18" width="50" customWidth="1"/>
  </cols>
  <sheetData>
    <row r="1" spans="1:18" ht="18" x14ac:dyDescent="0.25">
      <c r="A1" s="1" t="s">
        <v>273</v>
      </c>
    </row>
    <row r="2" spans="1:18" x14ac:dyDescent="0.25">
      <c r="A2" s="2" t="s">
        <v>274</v>
      </c>
    </row>
    <row r="3" spans="1:18" ht="24" x14ac:dyDescent="0.25">
      <c r="C3" s="16" t="s">
        <v>86</v>
      </c>
      <c r="D3" s="30">
        <f>kurs_joriy</f>
        <v>11963</v>
      </c>
      <c r="E3" s="81" t="str">
        <f>IF(AND(shkaf_kyuz=1,shkaf_kyon=1),"to'liq",IF(shkaf_kyuz=1,"yuzi","yoni"))&amp;IF(shkaf_kra=1,""," (taqqoslash)")</f>
        <v>to'liq (taqqoslash)</v>
      </c>
      <c r="F3" s="81" t="str">
        <f>IF(AND(tumba_kyuz=1,tumba_kyon=1),"to'liq",IF(tumba_kyuz=1,"yuzi","yoni"))&amp;IF(tumba_kra=1,""," (taqqoslash)")</f>
        <v>to'liq (taqqoslash)</v>
      </c>
      <c r="G3" s="81" t="str">
        <f>IF(AND(trimo_kyuz=1,trimo_kyon=1),"to'liq",IF(trimo_kyuz=1,"yuzi","yoni"))&amp;IF(trimo_kra=1,""," (taqqoslash)")</f>
        <v>to'liq (taqqoslash)</v>
      </c>
      <c r="H3" s="81" t="str">
        <f>IF(AND(chest_kyuz=1,chest_kyon=1),"to'liq",IF(chest_kyuz=1,"yuzi","yoni"))&amp;IF(chest_kra=1,""," (taqqoslash)")</f>
        <v>to'liq (taqqoslash)</v>
      </c>
      <c r="I3" s="81" t="s">
        <v>275</v>
      </c>
    </row>
    <row r="4" spans="1:18" ht="36" customHeight="1" x14ac:dyDescent="0.25">
      <c r="A4" s="6" t="s">
        <v>100</v>
      </c>
      <c r="B4" s="6" t="s">
        <v>189</v>
      </c>
      <c r="C4" s="6" t="s">
        <v>154</v>
      </c>
      <c r="D4" s="6" t="s">
        <v>44</v>
      </c>
      <c r="E4" s="6" t="s">
        <v>46</v>
      </c>
      <c r="F4" s="6" t="s">
        <v>74</v>
      </c>
      <c r="G4" s="6" t="s">
        <v>69</v>
      </c>
      <c r="H4" s="6" t="s">
        <v>77</v>
      </c>
      <c r="I4" s="6" t="s">
        <v>58</v>
      </c>
      <c r="J4" s="6" t="s">
        <v>190</v>
      </c>
      <c r="K4" s="6" t="s">
        <v>191</v>
      </c>
      <c r="L4" s="6" t="s">
        <v>192</v>
      </c>
      <c r="M4" s="6" t="s">
        <v>193</v>
      </c>
      <c r="N4" s="6" t="s">
        <v>194</v>
      </c>
      <c r="O4" s="6" t="s">
        <v>195</v>
      </c>
      <c r="P4" s="6" t="s">
        <v>171</v>
      </c>
      <c r="Q4" s="6" t="s">
        <v>196</v>
      </c>
      <c r="R4" s="6" t="s">
        <v>110</v>
      </c>
    </row>
    <row r="5" spans="1:18" ht="24" x14ac:dyDescent="0.25">
      <c r="A5" s="27">
        <v>1</v>
      </c>
      <c r="B5" s="25" t="s">
        <v>197</v>
      </c>
      <c r="C5" s="25" t="s">
        <v>198</v>
      </c>
      <c r="D5" s="27" t="s">
        <v>199</v>
      </c>
      <c r="E5" s="68">
        <f>(SUMIFS(Detallar!$I$5:$I$300,Detallar!$B$5:$B$300,E$4,Detallar!$D$5:$D$300,"LDSP 16mm")-(SUMIFS(Detallar!$I$5:$I$300,Detallar!$B$5:$B$300,E$4,Detallar!$E$5:$E$300,"Yuz")*shkaf_kyuz+SUMIFS(Detallar!$I$5:$I$300,Detallar!$B$5:$B$300,E$4,Detallar!$E$5:$E$300,"Yon")*shkaf_kyon))/(ldsp_L*ldsp_W/1000000)</f>
        <v>1.4265452035886819</v>
      </c>
      <c r="F5" s="68">
        <f>(SUMIFS(Detallar!$I$5:$I$300,Detallar!$B$5:$B$300,F$4,Detallar!$D$5:$D$300,"LDSP 16mm")-(SUMIFS(Detallar!$I$5:$I$300,Detallar!$B$5:$B$300,F$4,Detallar!$E$5:$E$300,"Yuz")*tumba_kyuz+SUMIFS(Detallar!$I$5:$I$300,Detallar!$B$5:$B$300,F$4,Detallar!$E$5:$E$300,"Yon")*tumba_kyon))/(ldsp_L*ldsp_W/1000000)</f>
        <v>0.13013664596273292</v>
      </c>
      <c r="G5" s="68">
        <f>(SUMIFS(Detallar!$I$5:$I$300,Detallar!$B$5:$B$300,G$4,Detallar!$D$5:$D$300,"LDSP 16mm")-(SUMIFS(Detallar!$I$5:$I$300,Detallar!$B$5:$B$300,G$4,Detallar!$E$5:$E$300,"Yuz")*trimo_kyuz+SUMIFS(Detallar!$I$5:$I$300,Detallar!$B$5:$B$300,G$4,Detallar!$E$5:$E$300,"Yon")*trimo_kyon))/(ldsp_L*ldsp_W/1000000)</f>
        <v>0.45780883367839909</v>
      </c>
      <c r="H5" s="68">
        <f>(SUMIFS(Detallar!$I$5:$I$300,Detallar!$B$5:$B$300,H$4,Detallar!$D$5:$D$300,"LDSP 16mm")-(SUMIFS(Detallar!$I$5:$I$300,Detallar!$B$5:$B$300,H$4,Detallar!$E$5:$E$300,"Yuz")*chest_kyuz+SUMIFS(Detallar!$I$5:$I$300,Detallar!$B$5:$B$300,H$4,Detallar!$E$5:$E$300,"Yon")*chest_kyon))/(ldsp_L*ldsp_W/1000000)</f>
        <v>0.32511249137336096</v>
      </c>
      <c r="I5" s="42">
        <v>0</v>
      </c>
      <c r="J5" s="69">
        <f t="shared" ref="J5:J35" si="0">SUM(E5:I5)</f>
        <v>2.3396031746031749</v>
      </c>
      <c r="K5" s="70">
        <v>0.15</v>
      </c>
      <c r="L5" s="69">
        <f t="shared" ref="L5:L35" si="1">J5*(1+K5)</f>
        <v>2.6905436507936509</v>
      </c>
      <c r="M5" s="71" t="s">
        <v>200</v>
      </c>
      <c r="N5" s="72">
        <v>400000</v>
      </c>
      <c r="O5" s="9">
        <f t="shared" ref="O5:O35" si="2">IF(M5="Dollar",N5*kurs_joriy,IF(M5="So'm (kursga bog'liq)",N5*kurs_joriy/kurs_baza,N5))</f>
        <v>400000</v>
      </c>
      <c r="P5" s="9">
        <f t="shared" ref="P5:P35" si="3">L5*O5</f>
        <v>1076217.4603174604</v>
      </c>
      <c r="Q5" s="73">
        <f t="shared" ref="Q5:Q35" si="4">P5/kurs_joriy</f>
        <v>89.962171722599706</v>
      </c>
      <c r="R5" s="74" t="s">
        <v>276</v>
      </c>
    </row>
    <row r="6" spans="1:18" x14ac:dyDescent="0.25">
      <c r="A6" s="27">
        <v>2</v>
      </c>
      <c r="B6" s="25" t="s">
        <v>197</v>
      </c>
      <c r="C6" s="25" t="s">
        <v>277</v>
      </c>
      <c r="D6" s="27" t="s">
        <v>199</v>
      </c>
      <c r="E6" s="68">
        <f>(SUMIFS(Detallar!$I$5:$I$300,Detallar!$B$5:$B$300,E$4,Detallar!$E$5:$E$300,"Yuz")*shkaf_kyuz+SUMIFS(Detallar!$I$5:$I$300,Detallar!$B$5:$B$300,E$4,Detallar!$E$5:$E$300,"Yon")*shkaf_kyon)/(mdf_L*mdf_W/1000000)</f>
        <v>1.3460548654244304</v>
      </c>
      <c r="F6" s="68">
        <f>(SUMIFS(Detallar!$I$5:$I$300,Detallar!$B$5:$B$300,F$4,Detallar!$E$5:$E$300,"Yuz")*tumba_kyuz+SUMIFS(Detallar!$I$5:$I$300,Detallar!$B$5:$B$300,F$4,Detallar!$E$5:$E$300,"Yon")*tumba_kyon)/(mdf_L*mdf_W/1000000)</f>
        <v>0.16105210489993099</v>
      </c>
      <c r="G6" s="68">
        <f>(SUMIFS(Detallar!$I$5:$I$300,Detallar!$B$5:$B$300,G$4,Detallar!$E$5:$E$300,"Yuz")*trimo_kyuz+SUMIFS(Detallar!$I$5:$I$300,Detallar!$B$5:$B$300,G$4,Detallar!$E$5:$E$300,"Yon")*trimo_kyon)/(mdf_L*mdf_W/1000000)</f>
        <v>0.46757108350586613</v>
      </c>
      <c r="H6" s="68">
        <f>(SUMIFS(Detallar!$I$5:$I$300,Detallar!$B$5:$B$300,H$4,Detallar!$E$5:$E$300,"Yuz")*chest_kyuz+SUMIFS(Detallar!$I$5:$I$300,Detallar!$B$5:$B$300,H$4,Detallar!$E$5:$E$300,"Yon")*chest_kyon)/(mdf_L*mdf_W/1000000)</f>
        <v>0.36661076604554865</v>
      </c>
      <c r="I6" s="42">
        <v>0</v>
      </c>
      <c r="J6" s="69">
        <f t="shared" si="0"/>
        <v>2.3412888198757762</v>
      </c>
      <c r="K6" s="70">
        <v>0.15</v>
      </c>
      <c r="L6" s="69">
        <f t="shared" si="1"/>
        <v>2.6924821428571426</v>
      </c>
      <c r="M6" s="71" t="s">
        <v>200</v>
      </c>
      <c r="N6" s="72"/>
      <c r="O6" s="9">
        <f t="shared" si="2"/>
        <v>0</v>
      </c>
      <c r="P6" s="9">
        <f t="shared" si="3"/>
        <v>0</v>
      </c>
      <c r="Q6" s="73">
        <f t="shared" si="4"/>
        <v>0</v>
      </c>
      <c r="R6" s="74" t="s">
        <v>278</v>
      </c>
    </row>
    <row r="7" spans="1:18" x14ac:dyDescent="0.25">
      <c r="A7" s="27">
        <v>3</v>
      </c>
      <c r="B7" s="25" t="s">
        <v>197</v>
      </c>
      <c r="C7" s="25" t="s">
        <v>206</v>
      </c>
      <c r="D7" s="27" t="s">
        <v>199</v>
      </c>
      <c r="E7" s="68">
        <f>SUMIFS(Detallar!$I$5:$I$300,Detallar!$B$5:$B$300,E$4,Detallar!$D$5:$D$300,"DVP 3mm")/(dvp_L*dvp_W/1000000)</f>
        <v>1.123764705882353</v>
      </c>
      <c r="F7" s="68">
        <f>SUMIFS(Detallar!$I$5:$I$300,Detallar!$B$5:$B$300,F$4,Detallar!$D$5:$D$300,"DVP 3mm")/(dvp_L*dvp_W/1000000)</f>
        <v>0.12795028393871211</v>
      </c>
      <c r="G7" s="68">
        <f>SUMIFS(Detallar!$I$5:$I$300,Detallar!$B$5:$B$300,G$4,Detallar!$D$5:$D$300,"DVP 3mm")/(dvp_L*dvp_W/1000000)</f>
        <v>0.40200578592092573</v>
      </c>
      <c r="H7" s="68">
        <f>SUMIFS(Detallar!$I$5:$I$300,Detallar!$B$5:$B$300,H$4,Detallar!$D$5:$D$300,"DVP 3mm")/(dvp_L*dvp_W/1000000)</f>
        <v>0.45337619200685736</v>
      </c>
      <c r="I7" s="42">
        <v>0</v>
      </c>
      <c r="J7" s="69">
        <f t="shared" si="0"/>
        <v>2.1070969677488485</v>
      </c>
      <c r="K7" s="70">
        <v>0.15</v>
      </c>
      <c r="L7" s="69">
        <f t="shared" si="1"/>
        <v>2.4231615129111757</v>
      </c>
      <c r="M7" s="71" t="s">
        <v>200</v>
      </c>
      <c r="N7" s="72">
        <v>190000</v>
      </c>
      <c r="O7" s="9">
        <f t="shared" si="2"/>
        <v>190000</v>
      </c>
      <c r="P7" s="9">
        <f t="shared" si="3"/>
        <v>460400.68745312339</v>
      </c>
      <c r="Q7" s="73">
        <f t="shared" si="4"/>
        <v>38.485387231724765</v>
      </c>
      <c r="R7" s="74" t="s">
        <v>201</v>
      </c>
    </row>
    <row r="8" spans="1:18" x14ac:dyDescent="0.25">
      <c r="A8" s="27">
        <v>4</v>
      </c>
      <c r="B8" s="25" t="s">
        <v>197</v>
      </c>
      <c r="C8" s="25" t="s">
        <v>207</v>
      </c>
      <c r="D8" s="27" t="s">
        <v>152</v>
      </c>
      <c r="E8" s="68">
        <f>SUMIFS(Detallar!$I$5:$I$300,Detallar!$B$5:$B$300,E$4,Detallar!$D$5:$D$300,"Oyna 4mm")</f>
        <v>1.6</v>
      </c>
      <c r="F8" s="68">
        <f>SUMIFS(Detallar!$I$5:$I$300,Detallar!$B$5:$B$300,F$4,Detallar!$D$5:$D$300,"Oyna 4mm")</f>
        <v>0</v>
      </c>
      <c r="G8" s="68">
        <f>SUMIFS(Detallar!$I$5:$I$300,Detallar!$B$5:$B$300,G$4,Detallar!$D$5:$D$300,"Oyna 4mm")</f>
        <v>0</v>
      </c>
      <c r="H8" s="68">
        <f>SUMIFS(Detallar!$I$5:$I$300,Detallar!$B$5:$B$300,H$4,Detallar!$D$5:$D$300,"Oyna 4mm")</f>
        <v>0</v>
      </c>
      <c r="I8" s="42">
        <v>0</v>
      </c>
      <c r="J8" s="69">
        <f t="shared" si="0"/>
        <v>1.6</v>
      </c>
      <c r="K8" s="70">
        <v>0</v>
      </c>
      <c r="L8" s="69">
        <f t="shared" si="1"/>
        <v>1.6</v>
      </c>
      <c r="M8" s="71" t="s">
        <v>200</v>
      </c>
      <c r="N8" s="72">
        <v>140000</v>
      </c>
      <c r="O8" s="9">
        <f t="shared" si="2"/>
        <v>140000</v>
      </c>
      <c r="P8" s="9">
        <f t="shared" si="3"/>
        <v>224000</v>
      </c>
      <c r="Q8" s="73">
        <f t="shared" si="4"/>
        <v>18.724400234055004</v>
      </c>
      <c r="R8" s="74" t="s">
        <v>279</v>
      </c>
    </row>
    <row r="9" spans="1:18" x14ac:dyDescent="0.25">
      <c r="A9" s="27">
        <v>5</v>
      </c>
      <c r="B9" s="25" t="s">
        <v>197</v>
      </c>
      <c r="C9" s="25" t="s">
        <v>209</v>
      </c>
      <c r="D9" s="27" t="s">
        <v>210</v>
      </c>
      <c r="E9" s="68">
        <f>SUMIFS(Detallar!$N$5:$N$300,Detallar!$B$5:$B$300,E$4)-(SUMIFS(Detallar!$N$5:$N$300,Detallar!$B$5:$B$300,E$4,Detallar!$E$5:$E$300,"Yuz")*shkaf_kyuz+SUMIFS(Detallar!$N$5:$N$300,Detallar!$B$5:$B$300,E$4,Detallar!$E$5:$E$300,"Yon")*shkaf_kyon)</f>
        <v>0</v>
      </c>
      <c r="F9" s="68">
        <f>SUMIFS(Detallar!$N$5:$N$300,Detallar!$B$5:$B$300,F$4)-(SUMIFS(Detallar!$N$5:$N$300,Detallar!$B$5:$B$300,F$4,Detallar!$E$5:$E$300,"Yuz")*tumba_kyuz+SUMIFS(Detallar!$N$5:$N$300,Detallar!$B$5:$B$300,F$4,Detallar!$E$5:$E$300,"Yon")*tumba_kyon)</f>
        <v>0</v>
      </c>
      <c r="G9" s="68">
        <f>SUMIFS(Detallar!$N$5:$N$300,Detallar!$B$5:$B$300,G$4)-(SUMIFS(Detallar!$N$5:$N$300,Detallar!$B$5:$B$300,G$4,Detallar!$E$5:$E$300,"Yuz")*trimo_kyuz+SUMIFS(Detallar!$N$5:$N$300,Detallar!$B$5:$B$300,G$4,Detallar!$E$5:$E$300,"Yon")*trimo_kyon)</f>
        <v>0</v>
      </c>
      <c r="H9" s="68">
        <f>SUMIFS(Detallar!$N$5:$N$300,Detallar!$B$5:$B$300,H$4)-(SUMIFS(Detallar!$N$5:$N$300,Detallar!$B$5:$B$300,H$4,Detallar!$E$5:$E$300,"Yuz")*chest_kyuz+SUMIFS(Detallar!$N$5:$N$300,Detallar!$B$5:$B$300,H$4,Detallar!$E$5:$E$300,"Yon")*chest_kyon)</f>
        <v>0</v>
      </c>
      <c r="I9" s="42">
        <v>0</v>
      </c>
      <c r="J9" s="69">
        <f t="shared" si="0"/>
        <v>0</v>
      </c>
      <c r="K9" s="70">
        <v>0.1</v>
      </c>
      <c r="L9" s="69">
        <f t="shared" si="1"/>
        <v>0</v>
      </c>
      <c r="M9" s="71" t="s">
        <v>200</v>
      </c>
      <c r="N9" s="72">
        <v>4000</v>
      </c>
      <c r="O9" s="9">
        <f t="shared" si="2"/>
        <v>4000</v>
      </c>
      <c r="P9" s="9">
        <f t="shared" si="3"/>
        <v>0</v>
      </c>
      <c r="Q9" s="73">
        <f t="shared" si="4"/>
        <v>0</v>
      </c>
      <c r="R9" s="74" t="s">
        <v>280</v>
      </c>
    </row>
    <row r="10" spans="1:18" x14ac:dyDescent="0.25">
      <c r="A10" s="27">
        <v>6</v>
      </c>
      <c r="B10" s="25" t="s">
        <v>197</v>
      </c>
      <c r="C10" s="25" t="s">
        <v>212</v>
      </c>
      <c r="D10" s="27" t="s">
        <v>210</v>
      </c>
      <c r="E10" s="68">
        <f>SUMIFS(Detallar!$O$5:$O$300,Detallar!$B$5:$B$300,E$4)-(SUMIFS(Detallar!$O$5:$O$300,Detallar!$B$5:$B$300,E$4,Detallar!$E$5:$E$300,"Yuz")*shkaf_kyuz+SUMIFS(Detallar!$O$5:$O$300,Detallar!$B$5:$B$300,E$4,Detallar!$E$5:$E$300,"Yon")*shkaf_kyon)</f>
        <v>14.343999999999998</v>
      </c>
      <c r="F10" s="68">
        <f>SUMIFS(Detallar!$O$5:$O$300,Detallar!$B$5:$B$300,F$4)-(SUMIFS(Detallar!$O$5:$O$300,Detallar!$B$5:$B$300,F$4,Detallar!$E$5:$E$300,"Yuz")*tumba_kyuz+SUMIFS(Detallar!$O$5:$O$300,Detallar!$B$5:$B$300,F$4,Detallar!$E$5:$E$300,"Yon")*tumba_kyon)</f>
        <v>3.508</v>
      </c>
      <c r="G10" s="68">
        <f>SUMIFS(Detallar!$O$5:$O$300,Detallar!$B$5:$B$300,G$4)-(SUMIFS(Detallar!$O$5:$O$300,Detallar!$B$5:$B$300,G$4,Detallar!$E$5:$E$300,"Yuz")*trimo_kyuz+SUMIFS(Detallar!$O$5:$O$300,Detallar!$B$5:$B$300,G$4,Detallar!$E$5:$E$300,"Yon")*trimo_kyon)</f>
        <v>9.1479999999999997</v>
      </c>
      <c r="H10" s="68">
        <f>SUMIFS(Detallar!$O$5:$O$300,Detallar!$B$5:$B$300,H$4)-(SUMIFS(Detallar!$O$5:$O$300,Detallar!$B$5:$B$300,H$4,Detallar!$E$5:$E$300,"Yuz")*chest_kyuz+SUMIFS(Detallar!$O$5:$O$300,Detallar!$B$5:$B$300,H$4,Detallar!$E$5:$E$300,"Yon")*chest_kyon)</f>
        <v>10.047999999999998</v>
      </c>
      <c r="I10" s="42">
        <v>0</v>
      </c>
      <c r="J10" s="69">
        <f t="shared" si="0"/>
        <v>37.047999999999995</v>
      </c>
      <c r="K10" s="70">
        <v>0.1</v>
      </c>
      <c r="L10" s="69">
        <f t="shared" si="1"/>
        <v>40.752800000000001</v>
      </c>
      <c r="M10" s="71" t="s">
        <v>200</v>
      </c>
      <c r="N10" s="72">
        <v>3000</v>
      </c>
      <c r="O10" s="9">
        <f t="shared" si="2"/>
        <v>3000</v>
      </c>
      <c r="P10" s="9">
        <f t="shared" si="3"/>
        <v>122258.40000000001</v>
      </c>
      <c r="Q10" s="73">
        <f t="shared" si="4"/>
        <v>10.219710774889242</v>
      </c>
      <c r="R10" s="74" t="s">
        <v>280</v>
      </c>
    </row>
    <row r="11" spans="1:18" x14ac:dyDescent="0.25">
      <c r="A11" s="27">
        <v>7</v>
      </c>
      <c r="B11" s="25" t="s">
        <v>281</v>
      </c>
      <c r="C11" s="25" t="s">
        <v>202</v>
      </c>
      <c r="D11" s="27" t="s">
        <v>199</v>
      </c>
      <c r="E11" s="68">
        <f>SUMIFS(Detallar!$I$5:$I$300,Detallar!$B$5:$B$300,E$4,Detallar!$D$5:$D$300,"DSP 16mm (oddiy kapot)")/(dsp_L*dsp_W/1000000)</f>
        <v>0</v>
      </c>
      <c r="F11" s="68">
        <f>SUMIFS(Detallar!$I$5:$I$300,Detallar!$B$5:$B$300,F$4,Detallar!$D$5:$D$300,"DSP 16mm (oddiy kapot)")/(dsp_L*dsp_W/1000000)</f>
        <v>0</v>
      </c>
      <c r="G11" s="68">
        <f>SUMIFS(Detallar!$I$5:$I$300,Detallar!$B$5:$B$300,G$4,Detallar!$D$5:$D$300,"DSP 16mm (oddiy kapot)")/(dsp_L*dsp_W/1000000)</f>
        <v>0</v>
      </c>
      <c r="H11" s="68">
        <f>SUMIFS(Detallar!$I$5:$I$300,Detallar!$B$5:$B$300,H$4,Detallar!$D$5:$D$300,"DSP 16mm (oddiy kapot)")/(dsp_L*dsp_W/1000000)</f>
        <v>0</v>
      </c>
      <c r="I11" s="68">
        <f>SUMIFS(Detallar!$I$5:$I$300,Detallar!$B$5:$B$300,I$4,Detallar!$D$5:$D$300,"DSP 16mm (oddiy kapot)")/(dsp_L*dsp_W/1000000)</f>
        <v>0.71685086934923004</v>
      </c>
      <c r="J11" s="69">
        <f t="shared" si="0"/>
        <v>0.71685086934923004</v>
      </c>
      <c r="K11" s="82">
        <f>'Laminat xom ashyo'!O6</f>
        <v>0.15</v>
      </c>
      <c r="L11" s="69">
        <f t="shared" si="1"/>
        <v>0.82437849975161448</v>
      </c>
      <c r="M11" s="83" t="str">
        <f>'Laminat xom ashyo'!Q6</f>
        <v>So'm (kursga bog'liq)</v>
      </c>
      <c r="N11" s="77">
        <f>'Laminat xom ashyo'!R6</f>
        <v>0</v>
      </c>
      <c r="O11" s="9">
        <f t="shared" si="2"/>
        <v>0</v>
      </c>
      <c r="P11" s="9">
        <f t="shared" si="3"/>
        <v>0</v>
      </c>
      <c r="Q11" s="73">
        <f t="shared" si="4"/>
        <v>0</v>
      </c>
      <c r="R11" s="74" t="s">
        <v>282</v>
      </c>
    </row>
    <row r="12" spans="1:18" x14ac:dyDescent="0.25">
      <c r="A12" s="27">
        <v>8</v>
      </c>
      <c r="B12" s="25" t="s">
        <v>281</v>
      </c>
      <c r="C12" s="25" t="s">
        <v>204</v>
      </c>
      <c r="D12" s="27" t="s">
        <v>199</v>
      </c>
      <c r="E12" s="68">
        <f>SUMIFS(Detallar!$I$5:$I$300,Detallar!$B$5:$B$300,E$4,Detallar!$D$5:$D$300,"DSP 16mm (nasosli kapot)")/(dsp_L*dsp_W/1000000)</f>
        <v>0</v>
      </c>
      <c r="F12" s="68">
        <f>SUMIFS(Detallar!$I$5:$I$300,Detallar!$B$5:$B$300,F$4,Detallar!$D$5:$D$300,"DSP 16mm (nasosli kapot)")/(dsp_L*dsp_W/1000000)</f>
        <v>0</v>
      </c>
      <c r="G12" s="68">
        <f>SUMIFS(Detallar!$I$5:$I$300,Detallar!$B$5:$B$300,G$4,Detallar!$D$5:$D$300,"DSP 16mm (nasosli kapot)")/(dsp_L*dsp_W/1000000)</f>
        <v>0</v>
      </c>
      <c r="H12" s="68">
        <f>SUMIFS(Detallar!$I$5:$I$300,Detallar!$B$5:$B$300,H$4,Detallar!$D$5:$D$300,"DSP 16mm (nasosli kapot)")/(dsp_L*dsp_W/1000000)</f>
        <v>0</v>
      </c>
      <c r="I12" s="68">
        <f>SUMIFS(Detallar!$I$5:$I$300,Detallar!$B$5:$B$300,I$4,Detallar!$D$5:$D$300,"DSP 16mm (nasosli kapot)")/(dsp_L*dsp_W/1000000)</f>
        <v>0</v>
      </c>
      <c r="J12" s="69">
        <f t="shared" si="0"/>
        <v>0</v>
      </c>
      <c r="K12" s="82">
        <f>'Laminat xom ashyo'!O7</f>
        <v>0.15</v>
      </c>
      <c r="L12" s="69">
        <f t="shared" si="1"/>
        <v>0</v>
      </c>
      <c r="M12" s="83" t="str">
        <f>'Laminat xom ashyo'!Q7</f>
        <v>So'm (kursga bog'liq)</v>
      </c>
      <c r="N12" s="77">
        <f>'Laminat xom ashyo'!R7</f>
        <v>0</v>
      </c>
      <c r="O12" s="9">
        <f t="shared" si="2"/>
        <v>0</v>
      </c>
      <c r="P12" s="9">
        <f t="shared" si="3"/>
        <v>0</v>
      </c>
      <c r="Q12" s="73">
        <f t="shared" si="4"/>
        <v>0</v>
      </c>
      <c r="R12" s="74" t="s">
        <v>282</v>
      </c>
    </row>
    <row r="13" spans="1:18" x14ac:dyDescent="0.25">
      <c r="A13" s="27">
        <v>9</v>
      </c>
      <c r="B13" s="25" t="s">
        <v>281</v>
      </c>
      <c r="C13" s="25" t="s">
        <v>238</v>
      </c>
      <c r="D13" s="27" t="s">
        <v>234</v>
      </c>
      <c r="E13" s="75">
        <f>SUMIFS(Furnitura!$E$5:$E$400,Furnitura!$B$5:$B$400,E$4,Furnitura!$C$5:$C$400,$C13)</f>
        <v>0</v>
      </c>
      <c r="F13" s="75">
        <f>SUMIFS(Furnitura!$E$5:$E$400,Furnitura!$B$5:$B$400,F$4,Furnitura!$C$5:$C$400,$C13)</f>
        <v>0</v>
      </c>
      <c r="G13" s="75">
        <f>SUMIFS(Furnitura!$E$5:$E$400,Furnitura!$B$5:$B$400,G$4,Furnitura!$C$5:$C$400,$C13)</f>
        <v>0</v>
      </c>
      <c r="H13" s="75">
        <f>SUMIFS(Furnitura!$E$5:$E$400,Furnitura!$B$5:$B$400,H$4,Furnitura!$C$5:$C$400,$C13)</f>
        <v>0</v>
      </c>
      <c r="I13" s="75">
        <f>SUMIFS(Furnitura!$E$5:$E$400,Furnitura!$B$5:$B$400,I$4,Furnitura!$C$5:$C$400,$C13)</f>
        <v>0</v>
      </c>
      <c r="J13" s="45">
        <f t="shared" si="0"/>
        <v>0</v>
      </c>
      <c r="K13" s="82">
        <f>'Laminat xom ashyo'!O29</f>
        <v>0</v>
      </c>
      <c r="L13" s="45">
        <f t="shared" si="1"/>
        <v>0</v>
      </c>
      <c r="M13" s="83" t="str">
        <f>'Laminat xom ashyo'!Q29</f>
        <v>So'm (kursga bog'liq)</v>
      </c>
      <c r="N13" s="77">
        <f>'Laminat xom ashyo'!R29</f>
        <v>0</v>
      </c>
      <c r="O13" s="9">
        <f t="shared" si="2"/>
        <v>0</v>
      </c>
      <c r="P13" s="9">
        <f t="shared" si="3"/>
        <v>0</v>
      </c>
      <c r="Q13" s="73">
        <f t="shared" si="4"/>
        <v>0</v>
      </c>
      <c r="R13" s="74" t="s">
        <v>282</v>
      </c>
    </row>
    <row r="14" spans="1:18" x14ac:dyDescent="0.25">
      <c r="A14" s="27">
        <v>10</v>
      </c>
      <c r="B14" s="25" t="s">
        <v>283</v>
      </c>
      <c r="C14" s="25" t="s">
        <v>284</v>
      </c>
      <c r="D14" s="27" t="s">
        <v>285</v>
      </c>
      <c r="E14" s="68">
        <f>(SUMIFS(Detallar!$Q$5:$Q$300,Detallar!$B$5:$B$300,E$4,Detallar!$E$5:$E$300,"Yuz")*shkaf_kyuz+SUMIFS(Detallar!$Q$5:$Q$300,Detallar!$B$5:$B$300,E$4,Detallar!$E$5:$E$300,"Yon")*shkaf_kyon)*grunt_norma</f>
        <v>5.7199337999999997</v>
      </c>
      <c r="F14" s="68">
        <f>(SUMIFS(Detallar!$Q$5:$Q$300,Detallar!$B$5:$B$300,F$4,Detallar!$E$5:$E$300,"Yuz")*tumba_kyuz+SUMIFS(Detallar!$Q$5:$Q$300,Detallar!$B$5:$B$300,F$4,Detallar!$E$5:$E$300,"Yon")*tumba_kyon)*grunt_norma</f>
        <v>0.7080318000000001</v>
      </c>
      <c r="G14" s="68">
        <f>(SUMIFS(Detallar!$Q$5:$Q$300,Detallar!$B$5:$B$300,G$4,Detallar!$E$5:$E$300,"Yuz")*trimo_kyuz+SUMIFS(Detallar!$Q$5:$Q$300,Detallar!$B$5:$B$300,G$4,Detallar!$E$5:$E$300,"Yon")*trimo_kyon)*grunt_norma</f>
        <v>2.0205541999999999</v>
      </c>
      <c r="H14" s="68">
        <f>(SUMIFS(Detallar!$Q$5:$Q$300,Detallar!$B$5:$B$300,H$4,Detallar!$E$5:$E$300,"Yuz")*chest_kyuz+SUMIFS(Detallar!$Q$5:$Q$300,Detallar!$B$5:$B$300,H$4,Detallar!$E$5:$E$300,"Yon")*chest_kyon)*grunt_norma</f>
        <v>1.59005</v>
      </c>
      <c r="I14" s="42">
        <v>0</v>
      </c>
      <c r="J14" s="69">
        <f t="shared" si="0"/>
        <v>10.038569799999999</v>
      </c>
      <c r="K14" s="70">
        <v>0</v>
      </c>
      <c r="L14" s="69">
        <f t="shared" si="1"/>
        <v>10.038569799999999</v>
      </c>
      <c r="M14" s="71" t="s">
        <v>200</v>
      </c>
      <c r="N14" s="72"/>
      <c r="O14" s="9">
        <f t="shared" si="2"/>
        <v>0</v>
      </c>
      <c r="P14" s="9">
        <f t="shared" si="3"/>
        <v>0</v>
      </c>
      <c r="Q14" s="73">
        <f t="shared" si="4"/>
        <v>0</v>
      </c>
      <c r="R14" s="74" t="s">
        <v>286</v>
      </c>
    </row>
    <row r="15" spans="1:18" x14ac:dyDescent="0.25">
      <c r="A15" s="27">
        <v>11</v>
      </c>
      <c r="B15" s="25" t="s">
        <v>283</v>
      </c>
      <c r="C15" s="25" t="s">
        <v>287</v>
      </c>
      <c r="D15" s="27" t="s">
        <v>285</v>
      </c>
      <c r="E15" s="68">
        <f>(SUMIFS(Detallar!$Q$5:$Q$300,Detallar!$B$5:$B$300,E$4,Detallar!$E$5:$E$300,"Yuz")*shkaf_kyuz+SUMIFS(Detallar!$Q$5:$Q$300,Detallar!$B$5:$B$300,E$4,Detallar!$E$5:$E$300,"Yon")*shkaf_kyon)*emal_norma</f>
        <v>4.9028003999999994</v>
      </c>
      <c r="F15" s="68">
        <f>(SUMIFS(Detallar!$Q$5:$Q$300,Detallar!$B$5:$B$300,F$4,Detallar!$E$5:$E$300,"Yuz")*tumba_kyuz+SUMIFS(Detallar!$Q$5:$Q$300,Detallar!$B$5:$B$300,F$4,Detallar!$E$5:$E$300,"Yon")*tumba_kyon)*emal_norma</f>
        <v>0.6068844000000001</v>
      </c>
      <c r="G15" s="68">
        <f>(SUMIFS(Detallar!$Q$5:$Q$300,Detallar!$B$5:$B$300,G$4,Detallar!$E$5:$E$300,"Yuz")*trimo_kyuz+SUMIFS(Detallar!$Q$5:$Q$300,Detallar!$B$5:$B$300,G$4,Detallar!$E$5:$E$300,"Yon")*trimo_kyon)*emal_norma</f>
        <v>1.7319035999999999</v>
      </c>
      <c r="H15" s="68">
        <f>(SUMIFS(Detallar!$Q$5:$Q$300,Detallar!$B$5:$B$300,H$4,Detallar!$E$5:$E$300,"Yuz")*chest_kyuz+SUMIFS(Detallar!$Q$5:$Q$300,Detallar!$B$5:$B$300,H$4,Detallar!$E$5:$E$300,"Yon")*chest_kyon)*emal_norma</f>
        <v>1.3629</v>
      </c>
      <c r="I15" s="42">
        <v>0</v>
      </c>
      <c r="J15" s="69">
        <f t="shared" si="0"/>
        <v>8.6044883999999993</v>
      </c>
      <c r="K15" s="70">
        <v>0</v>
      </c>
      <c r="L15" s="69">
        <f t="shared" si="1"/>
        <v>8.6044883999999993</v>
      </c>
      <c r="M15" s="71" t="s">
        <v>200</v>
      </c>
      <c r="N15" s="72"/>
      <c r="O15" s="9">
        <f t="shared" si="2"/>
        <v>0</v>
      </c>
      <c r="P15" s="9">
        <f t="shared" si="3"/>
        <v>0</v>
      </c>
      <c r="Q15" s="73">
        <f t="shared" si="4"/>
        <v>0</v>
      </c>
      <c r="R15" s="74" t="s">
        <v>286</v>
      </c>
    </row>
    <row r="16" spans="1:18" x14ac:dyDescent="0.25">
      <c r="A16" s="27">
        <v>12</v>
      </c>
      <c r="B16" s="25" t="s">
        <v>283</v>
      </c>
      <c r="C16" s="25" t="s">
        <v>288</v>
      </c>
      <c r="D16" s="27" t="s">
        <v>285</v>
      </c>
      <c r="E16" s="68">
        <f>(SUMIFS(Detallar!$Q$5:$Q$300,Detallar!$B$5:$B$300,E$4,Detallar!$E$5:$E$300,"Yuz")*shkaf_kyuz+SUMIFS(Detallar!$Q$5:$Q$300,Detallar!$B$5:$B$300,E$4,Detallar!$E$5:$E$300,"Yon")*shkaf_kyon)*lak_norma</f>
        <v>3.2685336</v>
      </c>
      <c r="F16" s="68">
        <f>(SUMIFS(Detallar!$Q$5:$Q$300,Detallar!$B$5:$B$300,F$4,Detallar!$E$5:$E$300,"Yuz")*tumba_kyuz+SUMIFS(Detallar!$Q$5:$Q$300,Detallar!$B$5:$B$300,F$4,Detallar!$E$5:$E$300,"Yon")*tumba_kyon)*lak_norma</f>
        <v>0.4045896000000001</v>
      </c>
      <c r="G16" s="68">
        <f>(SUMIFS(Detallar!$Q$5:$Q$300,Detallar!$B$5:$B$300,G$4,Detallar!$E$5:$E$300,"Yuz")*trimo_kyuz+SUMIFS(Detallar!$Q$5:$Q$300,Detallar!$B$5:$B$300,G$4,Detallar!$E$5:$E$300,"Yon")*trimo_kyon)*lak_norma</f>
        <v>1.1546023999999999</v>
      </c>
      <c r="H16" s="68">
        <f>(SUMIFS(Detallar!$Q$5:$Q$300,Detallar!$B$5:$B$300,H$4,Detallar!$E$5:$E$300,"Yuz")*chest_kyuz+SUMIFS(Detallar!$Q$5:$Q$300,Detallar!$B$5:$B$300,H$4,Detallar!$E$5:$E$300,"Yon")*chest_kyon)*lak_norma</f>
        <v>0.90860000000000007</v>
      </c>
      <c r="I16" s="42">
        <v>0</v>
      </c>
      <c r="J16" s="69">
        <f t="shared" si="0"/>
        <v>5.7363255999999998</v>
      </c>
      <c r="K16" s="70">
        <v>0</v>
      </c>
      <c r="L16" s="69">
        <f t="shared" si="1"/>
        <v>5.7363255999999998</v>
      </c>
      <c r="M16" s="71" t="s">
        <v>200</v>
      </c>
      <c r="N16" s="72"/>
      <c r="O16" s="9">
        <f t="shared" si="2"/>
        <v>0</v>
      </c>
      <c r="P16" s="9">
        <f t="shared" si="3"/>
        <v>0</v>
      </c>
      <c r="Q16" s="73">
        <f t="shared" si="4"/>
        <v>0</v>
      </c>
      <c r="R16" s="74" t="s">
        <v>286</v>
      </c>
    </row>
    <row r="17" spans="1:18" x14ac:dyDescent="0.25">
      <c r="A17" s="27">
        <v>13</v>
      </c>
      <c r="B17" s="25" t="s">
        <v>283</v>
      </c>
      <c r="C17" s="25" t="s">
        <v>289</v>
      </c>
      <c r="D17" s="27" t="s">
        <v>285</v>
      </c>
      <c r="E17" s="68">
        <f>(SUMIFS(Detallar!$Q$5:$Q$300,Detallar!$B$5:$B$300,E$4,Detallar!$E$5:$E$300,"Yuz")*shkaf_kyuz+SUMIFS(Detallar!$Q$5:$Q$300,Detallar!$B$5:$B$300,E$4,Detallar!$E$5:$E$300,"Yon")*shkaf_kyon)*qotir_norma</f>
        <v>4.9028003999999994</v>
      </c>
      <c r="F17" s="68">
        <f>(SUMIFS(Detallar!$Q$5:$Q$300,Detallar!$B$5:$B$300,F$4,Detallar!$E$5:$E$300,"Yuz")*tumba_kyuz+SUMIFS(Detallar!$Q$5:$Q$300,Detallar!$B$5:$B$300,F$4,Detallar!$E$5:$E$300,"Yon")*tumba_kyon)*qotir_norma</f>
        <v>0.6068844000000001</v>
      </c>
      <c r="G17" s="68">
        <f>(SUMIFS(Detallar!$Q$5:$Q$300,Detallar!$B$5:$B$300,G$4,Detallar!$E$5:$E$300,"Yuz")*trimo_kyuz+SUMIFS(Detallar!$Q$5:$Q$300,Detallar!$B$5:$B$300,G$4,Detallar!$E$5:$E$300,"Yon")*trimo_kyon)*qotir_norma</f>
        <v>1.7319035999999999</v>
      </c>
      <c r="H17" s="68">
        <f>(SUMIFS(Detallar!$Q$5:$Q$300,Detallar!$B$5:$B$300,H$4,Detallar!$E$5:$E$300,"Yuz")*chest_kyuz+SUMIFS(Detallar!$Q$5:$Q$300,Detallar!$B$5:$B$300,H$4,Detallar!$E$5:$E$300,"Yon")*chest_kyon)*qotir_norma</f>
        <v>1.3629</v>
      </c>
      <c r="I17" s="42">
        <v>0</v>
      </c>
      <c r="J17" s="69">
        <f t="shared" si="0"/>
        <v>8.6044883999999993</v>
      </c>
      <c r="K17" s="70">
        <v>0</v>
      </c>
      <c r="L17" s="69">
        <f t="shared" si="1"/>
        <v>8.6044883999999993</v>
      </c>
      <c r="M17" s="71" t="s">
        <v>200</v>
      </c>
      <c r="N17" s="72"/>
      <c r="O17" s="9">
        <f t="shared" si="2"/>
        <v>0</v>
      </c>
      <c r="P17" s="9">
        <f t="shared" si="3"/>
        <v>0</v>
      </c>
      <c r="Q17" s="73">
        <f t="shared" si="4"/>
        <v>0</v>
      </c>
      <c r="R17" s="74" t="s">
        <v>286</v>
      </c>
    </row>
    <row r="18" spans="1:18" x14ac:dyDescent="0.25">
      <c r="A18" s="27">
        <v>14</v>
      </c>
      <c r="B18" s="25" t="s">
        <v>283</v>
      </c>
      <c r="C18" s="25" t="s">
        <v>290</v>
      </c>
      <c r="D18" s="27" t="s">
        <v>245</v>
      </c>
      <c r="E18" s="68">
        <f>(SUMIFS(Detallar!$Q$5:$Q$300,Detallar!$B$5:$B$300,E$4,Detallar!$E$5:$E$300,"Yuz")*shkaf_kyuz+SUMIFS(Detallar!$Q$5:$Q$300,Detallar!$B$5:$B$300,E$4,Detallar!$E$5:$E$300,"Yon")*shkaf_kyon)*eritgich_norma</f>
        <v>2.4514001999999997</v>
      </c>
      <c r="F18" s="68">
        <f>(SUMIFS(Detallar!$Q$5:$Q$300,Detallar!$B$5:$B$300,F$4,Detallar!$E$5:$E$300,"Yuz")*tumba_kyuz+SUMIFS(Detallar!$Q$5:$Q$300,Detallar!$B$5:$B$300,F$4,Detallar!$E$5:$E$300,"Yon")*tumba_kyon)*eritgich_norma</f>
        <v>0.30344220000000005</v>
      </c>
      <c r="G18" s="68">
        <f>(SUMIFS(Detallar!$Q$5:$Q$300,Detallar!$B$5:$B$300,G$4,Detallar!$E$5:$E$300,"Yuz")*trimo_kyuz+SUMIFS(Detallar!$Q$5:$Q$300,Detallar!$B$5:$B$300,G$4,Detallar!$E$5:$E$300,"Yon")*trimo_kyon)*eritgich_norma</f>
        <v>0.86595179999999994</v>
      </c>
      <c r="H18" s="68">
        <f>(SUMIFS(Detallar!$Q$5:$Q$300,Detallar!$B$5:$B$300,H$4,Detallar!$E$5:$E$300,"Yuz")*chest_kyuz+SUMIFS(Detallar!$Q$5:$Q$300,Detallar!$B$5:$B$300,H$4,Detallar!$E$5:$E$300,"Yon")*chest_kyon)*eritgich_norma</f>
        <v>0.68145</v>
      </c>
      <c r="I18" s="42">
        <v>0</v>
      </c>
      <c r="J18" s="69">
        <f t="shared" si="0"/>
        <v>4.3022441999999996</v>
      </c>
      <c r="K18" s="70">
        <v>0</v>
      </c>
      <c r="L18" s="69">
        <f t="shared" si="1"/>
        <v>4.3022441999999996</v>
      </c>
      <c r="M18" s="71" t="s">
        <v>200</v>
      </c>
      <c r="N18" s="72"/>
      <c r="O18" s="9">
        <f t="shared" si="2"/>
        <v>0</v>
      </c>
      <c r="P18" s="9">
        <f t="shared" si="3"/>
        <v>0</v>
      </c>
      <c r="Q18" s="73">
        <f t="shared" si="4"/>
        <v>0</v>
      </c>
      <c r="R18" s="74" t="s">
        <v>286</v>
      </c>
    </row>
    <row r="19" spans="1:18" x14ac:dyDescent="0.25">
      <c r="A19" s="27">
        <v>15</v>
      </c>
      <c r="B19" s="25" t="s">
        <v>283</v>
      </c>
      <c r="C19" s="25" t="s">
        <v>291</v>
      </c>
      <c r="D19" s="27" t="s">
        <v>48</v>
      </c>
      <c r="E19" s="75">
        <f>(SUMIFS(Detallar!$Q$5:$Q$300,Detallar!$B$5:$B$300,E$4,Detallar!$E$5:$E$300,"Yuz")*shkaf_kyuz+SUMIFS(Detallar!$Q$5:$Q$300,Detallar!$B$5:$B$300,E$4,Detallar!$E$5:$E$300,"Yon")*shkaf_kyon)*shkurka_norma</f>
        <v>16.342668</v>
      </c>
      <c r="F19" s="75">
        <f>(SUMIFS(Detallar!$Q$5:$Q$300,Detallar!$B$5:$B$300,F$4,Detallar!$E$5:$E$300,"Yuz")*tumba_kyuz+SUMIFS(Detallar!$Q$5:$Q$300,Detallar!$B$5:$B$300,F$4,Detallar!$E$5:$E$300,"Yon")*tumba_kyon)*shkurka_norma</f>
        <v>2.0229480000000004</v>
      </c>
      <c r="G19" s="75">
        <f>(SUMIFS(Detallar!$Q$5:$Q$300,Detallar!$B$5:$B$300,G$4,Detallar!$E$5:$E$300,"Yuz")*trimo_kyuz+SUMIFS(Detallar!$Q$5:$Q$300,Detallar!$B$5:$B$300,G$4,Detallar!$E$5:$E$300,"Yon")*trimo_kyon)*shkurka_norma</f>
        <v>5.7730119999999996</v>
      </c>
      <c r="H19" s="75">
        <f>(SUMIFS(Detallar!$Q$5:$Q$300,Detallar!$B$5:$B$300,H$4,Detallar!$E$5:$E$300,"Yuz")*chest_kyuz+SUMIFS(Detallar!$Q$5:$Q$300,Detallar!$B$5:$B$300,H$4,Detallar!$E$5:$E$300,"Yon")*chest_kyon)*shkurka_norma</f>
        <v>4.5430000000000001</v>
      </c>
      <c r="I19" s="40">
        <v>0</v>
      </c>
      <c r="J19" s="45">
        <f t="shared" si="0"/>
        <v>28.681627999999996</v>
      </c>
      <c r="K19" s="70">
        <v>0</v>
      </c>
      <c r="L19" s="45">
        <f t="shared" si="1"/>
        <v>28.681627999999996</v>
      </c>
      <c r="M19" s="71" t="s">
        <v>200</v>
      </c>
      <c r="N19" s="72"/>
      <c r="O19" s="9">
        <f t="shared" si="2"/>
        <v>0</v>
      </c>
      <c r="P19" s="9">
        <f t="shared" si="3"/>
        <v>0</v>
      </c>
      <c r="Q19" s="73">
        <f t="shared" si="4"/>
        <v>0</v>
      </c>
      <c r="R19" s="74" t="s">
        <v>286</v>
      </c>
    </row>
    <row r="20" spans="1:18" x14ac:dyDescent="0.25">
      <c r="A20" s="27">
        <v>16</v>
      </c>
      <c r="B20" s="25" t="s">
        <v>214</v>
      </c>
      <c r="C20" s="25" t="s">
        <v>215</v>
      </c>
      <c r="D20" s="27" t="s">
        <v>48</v>
      </c>
      <c r="E20" s="75">
        <f>SUMIFS(Furnitura!$E$5:$E$400,Furnitura!$B$5:$B$400,E$4,Furnitura!$C$5:$C$400,$C20)</f>
        <v>30</v>
      </c>
      <c r="F20" s="75">
        <f>SUMIFS(Furnitura!$E$5:$E$400,Furnitura!$B$5:$B$400,F$4,Furnitura!$C$5:$C$400,$C20)</f>
        <v>0</v>
      </c>
      <c r="G20" s="75">
        <f>SUMIFS(Furnitura!$E$5:$E$400,Furnitura!$B$5:$B$400,G$4,Furnitura!$C$5:$C$400,$C20)</f>
        <v>4</v>
      </c>
      <c r="H20" s="75">
        <f>SUMIFS(Furnitura!$E$5:$E$400,Furnitura!$B$5:$B$400,H$4,Furnitura!$C$5:$C$400,$C20)</f>
        <v>0</v>
      </c>
      <c r="I20" s="40">
        <v>0</v>
      </c>
      <c r="J20" s="45">
        <f t="shared" si="0"/>
        <v>34</v>
      </c>
      <c r="K20" s="70">
        <v>0</v>
      </c>
      <c r="L20" s="45">
        <f t="shared" si="1"/>
        <v>34</v>
      </c>
      <c r="M20" s="71" t="s">
        <v>200</v>
      </c>
      <c r="N20" s="72">
        <v>10000</v>
      </c>
      <c r="O20" s="9">
        <f t="shared" si="2"/>
        <v>10000</v>
      </c>
      <c r="P20" s="9">
        <f t="shared" si="3"/>
        <v>340000</v>
      </c>
      <c r="Q20" s="73">
        <f t="shared" si="4"/>
        <v>28.420964640976344</v>
      </c>
      <c r="R20" s="74"/>
    </row>
    <row r="21" spans="1:18" x14ac:dyDescent="0.25">
      <c r="A21" s="27">
        <v>17</v>
      </c>
      <c r="B21" s="25" t="s">
        <v>214</v>
      </c>
      <c r="C21" s="25" t="s">
        <v>216</v>
      </c>
      <c r="D21" s="27" t="s">
        <v>48</v>
      </c>
      <c r="E21" s="75">
        <f>SUMIFS(Furnitura!$E$5:$E$400,Furnitura!$B$5:$B$400,E$4,Furnitura!$C$5:$C$400,$C21)</f>
        <v>6</v>
      </c>
      <c r="F21" s="75">
        <f>SUMIFS(Furnitura!$E$5:$E$400,Furnitura!$B$5:$B$400,F$4,Furnitura!$C$5:$C$400,$C21)</f>
        <v>2</v>
      </c>
      <c r="G21" s="75">
        <f>SUMIFS(Furnitura!$E$5:$E$400,Furnitura!$B$5:$B$400,G$4,Furnitura!$C$5:$C$400,$C21)</f>
        <v>5</v>
      </c>
      <c r="H21" s="75">
        <f>SUMIFS(Furnitura!$E$5:$E$400,Furnitura!$B$5:$B$400,H$4,Furnitura!$C$5:$C$400,$C21)</f>
        <v>4</v>
      </c>
      <c r="I21" s="40">
        <v>0</v>
      </c>
      <c r="J21" s="45">
        <f t="shared" si="0"/>
        <v>17</v>
      </c>
      <c r="K21" s="70">
        <v>0</v>
      </c>
      <c r="L21" s="45">
        <f t="shared" si="1"/>
        <v>17</v>
      </c>
      <c r="M21" s="71" t="s">
        <v>200</v>
      </c>
      <c r="N21" s="72">
        <v>50000</v>
      </c>
      <c r="O21" s="9">
        <f t="shared" si="2"/>
        <v>50000</v>
      </c>
      <c r="P21" s="9">
        <f t="shared" si="3"/>
        <v>850000</v>
      </c>
      <c r="Q21" s="73">
        <f t="shared" si="4"/>
        <v>71.052411602440856</v>
      </c>
      <c r="R21" s="74"/>
    </row>
    <row r="22" spans="1:18" x14ac:dyDescent="0.25">
      <c r="A22" s="27">
        <v>18</v>
      </c>
      <c r="B22" s="25" t="s">
        <v>214</v>
      </c>
      <c r="C22" s="76" t="str">
        <f>"Yashik napravlyayushiysi — Tumbochka ("&amp;tumba_naprav&amp;" mm)"</f>
        <v>Yashik napravlyayushiysi — Tumbochka (350 mm)</v>
      </c>
      <c r="D22" s="27" t="s">
        <v>217</v>
      </c>
      <c r="E22" s="75">
        <f>SUMIFS(Furnitura!$E$5:$E$400,Furnitura!$B$5:$B$400,E$4,Furnitura!$C$5:$C$400,$C22)</f>
        <v>0</v>
      </c>
      <c r="F22" s="75">
        <f>SUMIFS(Furnitura!$E$5:$E$400,Furnitura!$B$5:$B$400,F$4,Furnitura!$C$5:$C$400,$C22)</f>
        <v>2</v>
      </c>
      <c r="G22" s="75">
        <f>SUMIFS(Furnitura!$E$5:$E$400,Furnitura!$B$5:$B$400,G$4,Furnitura!$C$5:$C$400,$C22)</f>
        <v>0</v>
      </c>
      <c r="H22" s="75">
        <f>SUMIFS(Furnitura!$E$5:$E$400,Furnitura!$B$5:$B$400,H$4,Furnitura!$C$5:$C$400,$C22)</f>
        <v>0</v>
      </c>
      <c r="I22" s="40">
        <v>0</v>
      </c>
      <c r="J22" s="45">
        <f t="shared" si="0"/>
        <v>2</v>
      </c>
      <c r="K22" s="70">
        <v>0</v>
      </c>
      <c r="L22" s="45">
        <f t="shared" si="1"/>
        <v>2</v>
      </c>
      <c r="M22" s="71" t="s">
        <v>200</v>
      </c>
      <c r="N22" s="72">
        <v>100000</v>
      </c>
      <c r="O22" s="9">
        <f t="shared" si="2"/>
        <v>100000</v>
      </c>
      <c r="P22" s="9">
        <f t="shared" si="3"/>
        <v>200000</v>
      </c>
      <c r="Q22" s="73">
        <f t="shared" si="4"/>
        <v>16.718214494691967</v>
      </c>
      <c r="R22" s="74"/>
    </row>
    <row r="23" spans="1:18" x14ac:dyDescent="0.25">
      <c r="A23" s="27">
        <v>19</v>
      </c>
      <c r="B23" s="25" t="s">
        <v>214</v>
      </c>
      <c r="C23" s="76" t="str">
        <f>"Yashik napravlyayushiysi — Trimo ("&amp;trimo_naprav&amp;" mm)"</f>
        <v>Yashik napravlyayushiysi — Trimo (400 mm)</v>
      </c>
      <c r="D23" s="27" t="s">
        <v>217</v>
      </c>
      <c r="E23" s="75">
        <f>SUMIFS(Furnitura!$E$5:$E$400,Furnitura!$B$5:$B$400,E$4,Furnitura!$C$5:$C$400,$C23)</f>
        <v>0</v>
      </c>
      <c r="F23" s="75">
        <f>SUMIFS(Furnitura!$E$5:$E$400,Furnitura!$B$5:$B$400,F$4,Furnitura!$C$5:$C$400,$C23)</f>
        <v>0</v>
      </c>
      <c r="G23" s="75">
        <f>SUMIFS(Furnitura!$E$5:$E$400,Furnitura!$B$5:$B$400,G$4,Furnitura!$C$5:$C$400,$C23)</f>
        <v>3</v>
      </c>
      <c r="H23" s="75">
        <f>SUMIFS(Furnitura!$E$5:$E$400,Furnitura!$B$5:$B$400,H$4,Furnitura!$C$5:$C$400,$C23)</f>
        <v>0</v>
      </c>
      <c r="I23" s="40">
        <v>0</v>
      </c>
      <c r="J23" s="45">
        <f t="shared" si="0"/>
        <v>3</v>
      </c>
      <c r="K23" s="70">
        <v>0</v>
      </c>
      <c r="L23" s="45">
        <f t="shared" si="1"/>
        <v>3</v>
      </c>
      <c r="M23" s="71" t="s">
        <v>200</v>
      </c>
      <c r="N23" s="72">
        <v>110000</v>
      </c>
      <c r="O23" s="9">
        <f t="shared" si="2"/>
        <v>110000</v>
      </c>
      <c r="P23" s="9">
        <f t="shared" si="3"/>
        <v>330000</v>
      </c>
      <c r="Q23" s="73">
        <f t="shared" si="4"/>
        <v>27.585053916241744</v>
      </c>
      <c r="R23" s="74"/>
    </row>
    <row r="24" spans="1:18" x14ac:dyDescent="0.25">
      <c r="A24" s="27">
        <v>20</v>
      </c>
      <c r="B24" s="25" t="s">
        <v>214</v>
      </c>
      <c r="C24" s="76" t="str">
        <f>"Yashik napravlyayushiysi — Chester ("&amp;chest_naprav&amp;" mm)"</f>
        <v>Yashik napravlyayushiysi — Chester (450 mm)</v>
      </c>
      <c r="D24" s="27" t="s">
        <v>217</v>
      </c>
      <c r="E24" s="75">
        <f>SUMIFS(Furnitura!$E$5:$E$400,Furnitura!$B$5:$B$400,E$4,Furnitura!$C$5:$C$400,$C24)</f>
        <v>0</v>
      </c>
      <c r="F24" s="75">
        <f>SUMIFS(Furnitura!$E$5:$E$400,Furnitura!$B$5:$B$400,F$4,Furnitura!$C$5:$C$400,$C24)</f>
        <v>0</v>
      </c>
      <c r="G24" s="75">
        <f>SUMIFS(Furnitura!$E$5:$E$400,Furnitura!$B$5:$B$400,G$4,Furnitura!$C$5:$C$400,$C24)</f>
        <v>0</v>
      </c>
      <c r="H24" s="75">
        <f>SUMIFS(Furnitura!$E$5:$E$400,Furnitura!$B$5:$B$400,H$4,Furnitura!$C$5:$C$400,$C24)</f>
        <v>4</v>
      </c>
      <c r="I24" s="40">
        <v>0</v>
      </c>
      <c r="J24" s="45">
        <f t="shared" si="0"/>
        <v>4</v>
      </c>
      <c r="K24" s="70">
        <v>0</v>
      </c>
      <c r="L24" s="45">
        <f t="shared" si="1"/>
        <v>4</v>
      </c>
      <c r="M24" s="71" t="s">
        <v>200</v>
      </c>
      <c r="N24" s="72">
        <v>120000</v>
      </c>
      <c r="O24" s="9">
        <f t="shared" si="2"/>
        <v>120000</v>
      </c>
      <c r="P24" s="9">
        <f t="shared" si="3"/>
        <v>480000</v>
      </c>
      <c r="Q24" s="73">
        <f t="shared" si="4"/>
        <v>40.123714787260724</v>
      </c>
      <c r="R24" s="74"/>
    </row>
    <row r="25" spans="1:18" x14ac:dyDescent="0.25">
      <c r="A25" s="27">
        <v>21</v>
      </c>
      <c r="B25" s="25" t="s">
        <v>214</v>
      </c>
      <c r="C25" s="25" t="s">
        <v>221</v>
      </c>
      <c r="D25" s="27" t="s">
        <v>210</v>
      </c>
      <c r="E25" s="68">
        <f>SUMIFS(Furnitura!$E$5:$E$400,Furnitura!$B$5:$B$400,E$4,Furnitura!$C$5:$C$400,$C25)</f>
        <v>1.556</v>
      </c>
      <c r="F25" s="68">
        <f>SUMIFS(Furnitura!$E$5:$E$400,Furnitura!$B$5:$B$400,F$4,Furnitura!$C$5:$C$400,$C25)</f>
        <v>0</v>
      </c>
      <c r="G25" s="68">
        <f>SUMIFS(Furnitura!$E$5:$E$400,Furnitura!$B$5:$B$400,G$4,Furnitura!$C$5:$C$400,$C25)</f>
        <v>0</v>
      </c>
      <c r="H25" s="68">
        <f>SUMIFS(Furnitura!$E$5:$E$400,Furnitura!$B$5:$B$400,H$4,Furnitura!$C$5:$C$400,$C25)</f>
        <v>0</v>
      </c>
      <c r="I25" s="42">
        <v>0</v>
      </c>
      <c r="J25" s="69">
        <f t="shared" si="0"/>
        <v>1.556</v>
      </c>
      <c r="K25" s="70">
        <v>0</v>
      </c>
      <c r="L25" s="69">
        <f t="shared" si="1"/>
        <v>1.556</v>
      </c>
      <c r="M25" s="71" t="s">
        <v>200</v>
      </c>
      <c r="N25" s="72">
        <v>30000</v>
      </c>
      <c r="O25" s="9">
        <f t="shared" si="2"/>
        <v>30000</v>
      </c>
      <c r="P25" s="9">
        <f t="shared" si="3"/>
        <v>46680</v>
      </c>
      <c r="Q25" s="73">
        <f t="shared" si="4"/>
        <v>3.9020312630611049</v>
      </c>
      <c r="R25" s="74"/>
    </row>
    <row r="26" spans="1:18" x14ac:dyDescent="0.25">
      <c r="A26" s="27">
        <v>22</v>
      </c>
      <c r="B26" s="25" t="s">
        <v>214</v>
      </c>
      <c r="C26" s="25" t="s">
        <v>222</v>
      </c>
      <c r="D26" s="27" t="s">
        <v>48</v>
      </c>
      <c r="E26" s="75">
        <f>SUMIFS(Furnitura!$E$5:$E$400,Furnitura!$B$5:$B$400,E$4,Furnitura!$C$5:$C$400,$C26)</f>
        <v>4</v>
      </c>
      <c r="F26" s="75">
        <f>SUMIFS(Furnitura!$E$5:$E$400,Furnitura!$B$5:$B$400,F$4,Furnitura!$C$5:$C$400,$C26)</f>
        <v>0</v>
      </c>
      <c r="G26" s="75">
        <f>SUMIFS(Furnitura!$E$5:$E$400,Furnitura!$B$5:$B$400,G$4,Furnitura!$C$5:$C$400,$C26)</f>
        <v>0</v>
      </c>
      <c r="H26" s="75">
        <f>SUMIFS(Furnitura!$E$5:$E$400,Furnitura!$B$5:$B$400,H$4,Furnitura!$C$5:$C$400,$C26)</f>
        <v>0</v>
      </c>
      <c r="I26" s="40">
        <v>0</v>
      </c>
      <c r="J26" s="45">
        <f t="shared" si="0"/>
        <v>4</v>
      </c>
      <c r="K26" s="70">
        <v>0</v>
      </c>
      <c r="L26" s="45">
        <f t="shared" si="1"/>
        <v>4</v>
      </c>
      <c r="M26" s="71" t="s">
        <v>200</v>
      </c>
      <c r="N26" s="72">
        <v>10000</v>
      </c>
      <c r="O26" s="9">
        <f t="shared" si="2"/>
        <v>10000</v>
      </c>
      <c r="P26" s="9">
        <f t="shared" si="3"/>
        <v>40000</v>
      </c>
      <c r="Q26" s="73">
        <f t="shared" si="4"/>
        <v>3.3436428989383935</v>
      </c>
      <c r="R26" s="74"/>
    </row>
    <row r="27" spans="1:18" x14ac:dyDescent="0.25">
      <c r="A27" s="27">
        <v>23</v>
      </c>
      <c r="B27" s="25" t="s">
        <v>214</v>
      </c>
      <c r="C27" s="25" t="s">
        <v>223</v>
      </c>
      <c r="D27" s="27" t="s">
        <v>48</v>
      </c>
      <c r="E27" s="75">
        <f>SUMIFS(Furnitura!$E$5:$E$400,Furnitura!$B$5:$B$400,E$4,Furnitura!$C$5:$C$400,$C27)</f>
        <v>16</v>
      </c>
      <c r="F27" s="75">
        <f>SUMIFS(Furnitura!$E$5:$E$400,Furnitura!$B$5:$B$400,F$4,Furnitura!$C$5:$C$400,$C27)</f>
        <v>0</v>
      </c>
      <c r="G27" s="75">
        <f>SUMIFS(Furnitura!$E$5:$E$400,Furnitura!$B$5:$B$400,G$4,Furnitura!$C$5:$C$400,$C27)</f>
        <v>8</v>
      </c>
      <c r="H27" s="75">
        <f>SUMIFS(Furnitura!$E$5:$E$400,Furnitura!$B$5:$B$400,H$4,Furnitura!$C$5:$C$400,$C27)</f>
        <v>0</v>
      </c>
      <c r="I27" s="40">
        <v>0</v>
      </c>
      <c r="J27" s="45">
        <f t="shared" si="0"/>
        <v>24</v>
      </c>
      <c r="K27" s="70">
        <v>0</v>
      </c>
      <c r="L27" s="45">
        <f t="shared" si="1"/>
        <v>24</v>
      </c>
      <c r="M27" s="71" t="s">
        <v>200</v>
      </c>
      <c r="N27" s="72">
        <v>500</v>
      </c>
      <c r="O27" s="9">
        <f t="shared" si="2"/>
        <v>500</v>
      </c>
      <c r="P27" s="9">
        <f t="shared" si="3"/>
        <v>12000</v>
      </c>
      <c r="Q27" s="73">
        <f t="shared" si="4"/>
        <v>1.003092869681518</v>
      </c>
      <c r="R27" s="74"/>
    </row>
    <row r="28" spans="1:18" x14ac:dyDescent="0.25">
      <c r="A28" s="27">
        <v>24</v>
      </c>
      <c r="B28" s="25" t="s">
        <v>214</v>
      </c>
      <c r="C28" s="25" t="s">
        <v>224</v>
      </c>
      <c r="D28" s="27" t="s">
        <v>48</v>
      </c>
      <c r="E28" s="75">
        <f>SUMIFS(Furnitura!$E$5:$E$400,Furnitura!$B$5:$B$400,E$4,Furnitura!$C$5:$C$400,$C28)</f>
        <v>48</v>
      </c>
      <c r="F28" s="75">
        <f>SUMIFS(Furnitura!$E$5:$E$400,Furnitura!$B$5:$B$400,F$4,Furnitura!$C$5:$C$400,$C28)</f>
        <v>20</v>
      </c>
      <c r="G28" s="75">
        <f>SUMIFS(Furnitura!$E$5:$E$400,Furnitura!$B$5:$B$400,G$4,Furnitura!$C$5:$C$400,$C28)</f>
        <v>32</v>
      </c>
      <c r="H28" s="75">
        <f>SUMIFS(Furnitura!$E$5:$E$400,Furnitura!$B$5:$B$400,H$4,Furnitura!$C$5:$C$400,$C28)</f>
        <v>28</v>
      </c>
      <c r="I28" s="40">
        <v>0</v>
      </c>
      <c r="J28" s="45">
        <f t="shared" si="0"/>
        <v>128</v>
      </c>
      <c r="K28" s="70">
        <v>0</v>
      </c>
      <c r="L28" s="45">
        <f t="shared" si="1"/>
        <v>128</v>
      </c>
      <c r="M28" s="71" t="s">
        <v>200</v>
      </c>
      <c r="N28" s="72">
        <v>2000</v>
      </c>
      <c r="O28" s="9">
        <f t="shared" si="2"/>
        <v>2000</v>
      </c>
      <c r="P28" s="9">
        <f t="shared" si="3"/>
        <v>256000</v>
      </c>
      <c r="Q28" s="73">
        <f t="shared" si="4"/>
        <v>21.399314553205716</v>
      </c>
      <c r="R28" s="74"/>
    </row>
    <row r="29" spans="1:18" x14ac:dyDescent="0.25">
      <c r="A29" s="27">
        <v>25</v>
      </c>
      <c r="B29" s="25" t="s">
        <v>214</v>
      </c>
      <c r="C29" s="25" t="s">
        <v>226</v>
      </c>
      <c r="D29" s="27" t="s">
        <v>48</v>
      </c>
      <c r="E29" s="75">
        <f>SUMIFS(Furnitura!$E$5:$E$400,Furnitura!$B$5:$B$400,E$4,Furnitura!$C$5:$C$400,$C29)</f>
        <v>48</v>
      </c>
      <c r="F29" s="75">
        <f>SUMIFS(Furnitura!$E$5:$E$400,Furnitura!$B$5:$B$400,F$4,Furnitura!$C$5:$C$400,$C29)</f>
        <v>12</v>
      </c>
      <c r="G29" s="75">
        <f>SUMIFS(Furnitura!$E$5:$E$400,Furnitura!$B$5:$B$400,G$4,Furnitura!$C$5:$C$400,$C29)</f>
        <v>20</v>
      </c>
      <c r="H29" s="75">
        <f>SUMIFS(Furnitura!$E$5:$E$400,Furnitura!$B$5:$B$400,H$4,Furnitura!$C$5:$C$400,$C29)</f>
        <v>12</v>
      </c>
      <c r="I29" s="40">
        <v>0</v>
      </c>
      <c r="J29" s="45">
        <f t="shared" si="0"/>
        <v>92</v>
      </c>
      <c r="K29" s="70">
        <v>0</v>
      </c>
      <c r="L29" s="45">
        <f t="shared" si="1"/>
        <v>92</v>
      </c>
      <c r="M29" s="71" t="s">
        <v>200</v>
      </c>
      <c r="N29" s="72">
        <v>2000</v>
      </c>
      <c r="O29" s="9">
        <f t="shared" si="2"/>
        <v>2000</v>
      </c>
      <c r="P29" s="9">
        <f t="shared" si="3"/>
        <v>184000</v>
      </c>
      <c r="Q29" s="73">
        <f t="shared" si="4"/>
        <v>15.380757335116609</v>
      </c>
      <c r="R29" s="74"/>
    </row>
    <row r="30" spans="1:18" x14ac:dyDescent="0.25">
      <c r="A30" s="27">
        <v>26</v>
      </c>
      <c r="B30" s="25" t="s">
        <v>214</v>
      </c>
      <c r="C30" s="25" t="s">
        <v>227</v>
      </c>
      <c r="D30" s="27" t="s">
        <v>48</v>
      </c>
      <c r="E30" s="75">
        <f>SUMIFS(Furnitura!$E$5:$E$400,Furnitura!$B$5:$B$400,E$4,Furnitura!$C$5:$C$400,$C30)</f>
        <v>132</v>
      </c>
      <c r="F30" s="75">
        <f>SUMIFS(Furnitura!$E$5:$E$400,Furnitura!$B$5:$B$400,F$4,Furnitura!$C$5:$C$400,$C30)</f>
        <v>32</v>
      </c>
      <c r="G30" s="75">
        <f>SUMIFS(Furnitura!$E$5:$E$400,Furnitura!$B$5:$B$400,G$4,Furnitura!$C$5:$C$400,$C30)</f>
        <v>64</v>
      </c>
      <c r="H30" s="75">
        <f>SUMIFS(Furnitura!$E$5:$E$400,Furnitura!$B$5:$B$400,H$4,Furnitura!$C$5:$C$400,$C30)</f>
        <v>64</v>
      </c>
      <c r="I30" s="40">
        <v>0</v>
      </c>
      <c r="J30" s="45">
        <f t="shared" si="0"/>
        <v>292</v>
      </c>
      <c r="K30" s="70">
        <v>0</v>
      </c>
      <c r="L30" s="45">
        <f t="shared" si="1"/>
        <v>292</v>
      </c>
      <c r="M30" s="71" t="s">
        <v>200</v>
      </c>
      <c r="N30" s="72">
        <v>80</v>
      </c>
      <c r="O30" s="9">
        <f t="shared" si="2"/>
        <v>80</v>
      </c>
      <c r="P30" s="9">
        <f t="shared" si="3"/>
        <v>23360</v>
      </c>
      <c r="Q30" s="73">
        <f t="shared" si="4"/>
        <v>1.9526874529800218</v>
      </c>
      <c r="R30" s="74"/>
    </row>
    <row r="31" spans="1:18" x14ac:dyDescent="0.25">
      <c r="A31" s="27">
        <v>27</v>
      </c>
      <c r="B31" s="25" t="s">
        <v>214</v>
      </c>
      <c r="C31" s="25" t="s">
        <v>231</v>
      </c>
      <c r="D31" s="27" t="s">
        <v>48</v>
      </c>
      <c r="E31" s="75">
        <f>SUMIFS(Furnitura!$E$5:$E$400,Furnitura!$B$5:$B$400,E$4,Furnitura!$C$5:$C$400,$C31)</f>
        <v>180</v>
      </c>
      <c r="F31" s="75">
        <f>SUMIFS(Furnitura!$E$5:$E$400,Furnitura!$B$5:$B$400,F$4,Furnitura!$C$5:$C$400,$C31)</f>
        <v>54</v>
      </c>
      <c r="G31" s="75">
        <f>SUMIFS(Furnitura!$E$5:$E$400,Furnitura!$B$5:$B$400,G$4,Furnitura!$C$5:$C$400,$C31)</f>
        <v>102</v>
      </c>
      <c r="H31" s="75">
        <f>SUMIFS(Furnitura!$E$5:$E$400,Furnitura!$B$5:$B$400,H$4,Furnitura!$C$5:$C$400,$C31)</f>
        <v>131</v>
      </c>
      <c r="I31" s="40">
        <v>0</v>
      </c>
      <c r="J31" s="45">
        <f t="shared" si="0"/>
        <v>467</v>
      </c>
      <c r="K31" s="70">
        <v>0</v>
      </c>
      <c r="L31" s="45">
        <f t="shared" si="1"/>
        <v>467</v>
      </c>
      <c r="M31" s="71" t="s">
        <v>200</v>
      </c>
      <c r="N31" s="72">
        <v>40</v>
      </c>
      <c r="O31" s="9">
        <f t="shared" si="2"/>
        <v>40</v>
      </c>
      <c r="P31" s="9">
        <f t="shared" si="3"/>
        <v>18680</v>
      </c>
      <c r="Q31" s="73">
        <f t="shared" si="4"/>
        <v>1.5614812338042297</v>
      </c>
      <c r="R31" s="74"/>
    </row>
    <row r="32" spans="1:18" x14ac:dyDescent="0.25">
      <c r="A32" s="27">
        <v>28</v>
      </c>
      <c r="B32" s="25" t="s">
        <v>214</v>
      </c>
      <c r="C32" s="25" t="s">
        <v>247</v>
      </c>
      <c r="D32" s="27" t="s">
        <v>248</v>
      </c>
      <c r="E32" s="75">
        <f>SUMIFS(Furnitura!$E$5:$E$400,Furnitura!$B$5:$B$400,E$4,Furnitura!$C$5:$C$400,$C32)</f>
        <v>1</v>
      </c>
      <c r="F32" s="75">
        <f>SUMIFS(Furnitura!$E$5:$E$400,Furnitura!$B$5:$B$400,F$4,Furnitura!$C$5:$C$400,$C32)</f>
        <v>0</v>
      </c>
      <c r="G32" s="75">
        <f>SUMIFS(Furnitura!$E$5:$E$400,Furnitura!$B$5:$B$400,G$4,Furnitura!$C$5:$C$400,$C32)</f>
        <v>0</v>
      </c>
      <c r="H32" s="75">
        <f>SUMIFS(Furnitura!$E$5:$E$400,Furnitura!$B$5:$B$400,H$4,Furnitura!$C$5:$C$400,$C32)</f>
        <v>0</v>
      </c>
      <c r="I32" s="40">
        <v>0</v>
      </c>
      <c r="J32" s="45">
        <f t="shared" si="0"/>
        <v>1</v>
      </c>
      <c r="K32" s="70">
        <v>0</v>
      </c>
      <c r="L32" s="45">
        <f t="shared" si="1"/>
        <v>1</v>
      </c>
      <c r="M32" s="71" t="s">
        <v>200</v>
      </c>
      <c r="N32" s="72">
        <v>50000</v>
      </c>
      <c r="O32" s="9">
        <f t="shared" si="2"/>
        <v>50000</v>
      </c>
      <c r="P32" s="9">
        <f t="shared" si="3"/>
        <v>50000</v>
      </c>
      <c r="Q32" s="73">
        <f t="shared" si="4"/>
        <v>4.1795536236729918</v>
      </c>
      <c r="R32" s="74"/>
    </row>
    <row r="33" spans="1:18" x14ac:dyDescent="0.25">
      <c r="A33" s="27">
        <v>29</v>
      </c>
      <c r="B33" s="25" t="s">
        <v>265</v>
      </c>
      <c r="C33" s="25" t="s">
        <v>266</v>
      </c>
      <c r="D33" s="27" t="s">
        <v>210</v>
      </c>
      <c r="E33" s="68">
        <f>SUMIFS(Furnitura!$E$5:$E$400,Furnitura!$B$5:$B$400,E$4,Furnitura!$C$5:$C$400,$C33)</f>
        <v>8.4</v>
      </c>
      <c r="F33" s="68">
        <f>SUMIFS(Furnitura!$E$5:$E$400,Furnitura!$B$5:$B$400,F$4,Furnitura!$C$5:$C$400,$C33)</f>
        <v>0</v>
      </c>
      <c r="G33" s="68">
        <f>SUMIFS(Furnitura!$E$5:$E$400,Furnitura!$B$5:$B$400,G$4,Furnitura!$C$5:$C$400,$C33)</f>
        <v>0</v>
      </c>
      <c r="H33" s="68">
        <f>SUMIFS(Furnitura!$E$5:$E$400,Furnitura!$B$5:$B$400,H$4,Furnitura!$C$5:$C$400,$C33)</f>
        <v>0</v>
      </c>
      <c r="I33" s="42">
        <v>0</v>
      </c>
      <c r="J33" s="69">
        <f t="shared" si="0"/>
        <v>8.4</v>
      </c>
      <c r="K33" s="70">
        <v>0</v>
      </c>
      <c r="L33" s="69">
        <f t="shared" si="1"/>
        <v>8.4</v>
      </c>
      <c r="M33" s="71" t="s">
        <v>252</v>
      </c>
      <c r="N33" s="72">
        <v>5000</v>
      </c>
      <c r="O33" s="9">
        <f t="shared" si="2"/>
        <v>5000</v>
      </c>
      <c r="P33" s="9">
        <f t="shared" si="3"/>
        <v>42000</v>
      </c>
      <c r="Q33" s="73">
        <f t="shared" si="4"/>
        <v>3.5108250438853132</v>
      </c>
      <c r="R33" s="74"/>
    </row>
    <row r="34" spans="1:18" ht="24" x14ac:dyDescent="0.25">
      <c r="A34" s="27">
        <v>30</v>
      </c>
      <c r="B34" s="25" t="s">
        <v>265</v>
      </c>
      <c r="C34" s="25" t="s">
        <v>292</v>
      </c>
      <c r="D34" s="27" t="s">
        <v>152</v>
      </c>
      <c r="E34" s="68">
        <f>SUMIFS(Detallar!$Q$5:$Q$300,Detallar!$B$5:$B$300,E$4,Detallar!$E$5:$E$300,"Yuz")*shkaf_kyuz+SUMIFS(Detallar!$Q$5:$Q$300,Detallar!$B$5:$B$300,E$4,Detallar!$E$5:$E$300,"Yon")*shkaf_kyon</f>
        <v>16.342668</v>
      </c>
      <c r="F34" s="68">
        <f>SUMIFS(Detallar!$Q$5:$Q$300,Detallar!$B$5:$B$300,F$4,Detallar!$E$5:$E$300,"Yuz")*tumba_kyuz+SUMIFS(Detallar!$Q$5:$Q$300,Detallar!$B$5:$B$300,F$4,Detallar!$E$5:$E$300,"Yon")*tumba_kyon</f>
        <v>2.0229480000000004</v>
      </c>
      <c r="G34" s="68">
        <f>SUMIFS(Detallar!$Q$5:$Q$300,Detallar!$B$5:$B$300,G$4,Detallar!$E$5:$E$300,"Yuz")*trimo_kyuz+SUMIFS(Detallar!$Q$5:$Q$300,Detallar!$B$5:$B$300,G$4,Detallar!$E$5:$E$300,"Yon")*trimo_kyon</f>
        <v>5.7730119999999996</v>
      </c>
      <c r="H34" s="68">
        <f>SUMIFS(Detallar!$Q$5:$Q$300,Detallar!$B$5:$B$300,H$4,Detallar!$E$5:$E$300,"Yuz")*chest_kyuz+SUMIFS(Detallar!$Q$5:$Q$300,Detallar!$B$5:$B$300,H$4,Detallar!$E$5:$E$300,"Yon")*chest_kyon</f>
        <v>4.5430000000000001</v>
      </c>
      <c r="I34" s="42">
        <v>0</v>
      </c>
      <c r="J34" s="69">
        <f t="shared" si="0"/>
        <v>28.681627999999996</v>
      </c>
      <c r="K34" s="70">
        <v>0</v>
      </c>
      <c r="L34" s="69">
        <f t="shared" si="1"/>
        <v>28.681627999999996</v>
      </c>
      <c r="M34" s="71" t="s">
        <v>252</v>
      </c>
      <c r="N34" s="72"/>
      <c r="O34" s="9">
        <f t="shared" si="2"/>
        <v>0</v>
      </c>
      <c r="P34" s="9">
        <f t="shared" si="3"/>
        <v>0</v>
      </c>
      <c r="Q34" s="73">
        <f t="shared" si="4"/>
        <v>0</v>
      </c>
      <c r="R34" s="74" t="s">
        <v>293</v>
      </c>
    </row>
    <row r="35" spans="1:18" x14ac:dyDescent="0.25">
      <c r="A35" s="27">
        <v>31</v>
      </c>
      <c r="B35" s="25" t="s">
        <v>265</v>
      </c>
      <c r="C35" s="25" t="s">
        <v>269</v>
      </c>
      <c r="D35" s="27" t="s">
        <v>199</v>
      </c>
      <c r="E35" s="42">
        <f>E5+E6</f>
        <v>2.7726000690131123</v>
      </c>
      <c r="F35" s="42">
        <f>F5+F6</f>
        <v>0.29118875086266394</v>
      </c>
      <c r="G35" s="42">
        <f>G5+G6</f>
        <v>0.92537991718426515</v>
      </c>
      <c r="H35" s="42">
        <f>H5+H6</f>
        <v>0.69172325741890961</v>
      </c>
      <c r="I35" s="42">
        <v>0</v>
      </c>
      <c r="J35" s="69">
        <f t="shared" si="0"/>
        <v>4.6808919944789515</v>
      </c>
      <c r="K35" s="78">
        <f>K5</f>
        <v>0.15</v>
      </c>
      <c r="L35" s="69">
        <f t="shared" si="1"/>
        <v>5.3830257936507939</v>
      </c>
      <c r="M35" s="71" t="s">
        <v>252</v>
      </c>
      <c r="N35" s="72"/>
      <c r="O35" s="9">
        <f t="shared" si="2"/>
        <v>0</v>
      </c>
      <c r="P35" s="9">
        <f t="shared" si="3"/>
        <v>0</v>
      </c>
      <c r="Q35" s="73">
        <f t="shared" si="4"/>
        <v>0</v>
      </c>
      <c r="R35" s="74" t="s">
        <v>294</v>
      </c>
    </row>
    <row r="37" spans="1:18" x14ac:dyDescent="0.25">
      <c r="A37" s="13"/>
      <c r="B37" s="13"/>
      <c r="C37" s="43" t="s">
        <v>271</v>
      </c>
      <c r="D37" s="13"/>
      <c r="E37" s="38">
        <f>SUMPRODUCT(E$5:E$35,1+$K$5:$K$35,$O$5:$O$35)</f>
        <v>2169528.5818860875</v>
      </c>
      <c r="F37" s="38">
        <f>SUMPRODUCT(F$5:F$35,1+$K$5:$K$35,$O$5:$O$35)</f>
        <v>468116.39418346575</v>
      </c>
      <c r="G37" s="38">
        <f>SUMPRODUCT(G$5:G$35,1+$K$5:$K$35,$O$5:$O$35)</f>
        <v>1065818.7277157858</v>
      </c>
      <c r="H37" s="38">
        <f>SUMPRODUCT(H$5:H$35,1+$K$5:$K$35,$O$5:$O$35)</f>
        <v>1052132.8439852444</v>
      </c>
      <c r="I37" s="38">
        <f>SUMPRODUCT(I$5:I$35,1+$K$5:$K$35,$O$5:$O$35)</f>
        <v>0</v>
      </c>
      <c r="J37" s="38">
        <f>SUM(E37:I37)</f>
        <v>4755596.547770584</v>
      </c>
      <c r="K37" s="13"/>
      <c r="L37" s="13"/>
      <c r="M37" s="13"/>
      <c r="N37" s="13"/>
      <c r="O37" s="13"/>
      <c r="P37" s="38">
        <f>SUM(P5:P35)</f>
        <v>4755596.547770584</v>
      </c>
      <c r="Q37" s="13"/>
      <c r="R37" s="79" t="str">
        <f>IF(ABS(J37-P37)&lt;1,"Tekshiruv: OK","Tekshiruv: FARQ BOR")</f>
        <v>Tekshiruv: OK</v>
      </c>
    </row>
    <row r="38" spans="1:18" x14ac:dyDescent="0.25">
      <c r="C38" s="25" t="s">
        <v>272</v>
      </c>
      <c r="D38" s="80">
        <f>SUMPRODUCT((($E$5:$E$35+$F$5:$F$35+$G$5:$G$35+$H$5:$H$35)&gt;0)*($O$5:$O$35=0))</f>
        <v>9</v>
      </c>
    </row>
  </sheetData>
  <autoFilter ref="A4:R35"/>
  <dataValidations count="1">
    <dataValidation type="list" sqref="M5:M10 M14:M35">
      <formula1>"So'm (kursga bog'liq),So'm (qat'iy),Dollar"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zoomScale="90" zoomScaleNormal="9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3" width="16" customWidth="1"/>
    <col min="4" max="4" width="40" customWidth="1"/>
    <col min="5" max="5" width="3" customWidth="1"/>
    <col min="6" max="6" width="18" customWidth="1"/>
    <col min="7" max="7" width="16" customWidth="1"/>
  </cols>
  <sheetData>
    <row r="1" spans="1:7" ht="18" x14ac:dyDescent="0.25">
      <c r="A1" s="1" t="s">
        <v>295</v>
      </c>
    </row>
    <row r="2" spans="1:7" x14ac:dyDescent="0.25">
      <c r="A2" s="2" t="s">
        <v>296</v>
      </c>
    </row>
    <row r="4" spans="1:7" ht="36" customHeight="1" x14ac:dyDescent="0.25">
      <c r="A4" s="6" t="s">
        <v>101</v>
      </c>
      <c r="B4" s="6" t="s">
        <v>102</v>
      </c>
      <c r="C4" s="6" t="s">
        <v>297</v>
      </c>
      <c r="D4" s="6" t="s">
        <v>110</v>
      </c>
      <c r="F4" s="6" t="s">
        <v>298</v>
      </c>
      <c r="G4" s="6" t="s">
        <v>299</v>
      </c>
    </row>
    <row r="5" spans="1:7" x14ac:dyDescent="0.25">
      <c r="A5" s="64" t="s">
        <v>111</v>
      </c>
      <c r="B5" s="84">
        <v>2.2000000000000002</v>
      </c>
      <c r="C5" s="85">
        <v>252</v>
      </c>
      <c r="D5" s="28" t="s">
        <v>300</v>
      </c>
      <c r="F5" s="64" t="s">
        <v>111</v>
      </c>
      <c r="G5" s="84">
        <v>2.2000000000000002</v>
      </c>
    </row>
    <row r="6" spans="1:7" x14ac:dyDescent="0.25">
      <c r="A6" s="64" t="s">
        <v>111</v>
      </c>
      <c r="B6" s="84">
        <v>3.1</v>
      </c>
      <c r="C6" s="85">
        <v>336</v>
      </c>
      <c r="D6" s="28" t="s">
        <v>300</v>
      </c>
      <c r="F6" s="64" t="s">
        <v>56</v>
      </c>
      <c r="G6" s="84">
        <v>3.1</v>
      </c>
    </row>
    <row r="7" spans="1:7" x14ac:dyDescent="0.25">
      <c r="A7" s="64" t="s">
        <v>56</v>
      </c>
      <c r="B7" s="84">
        <v>2.2000000000000002</v>
      </c>
      <c r="C7" s="85">
        <v>210</v>
      </c>
      <c r="D7" s="28" t="s">
        <v>300</v>
      </c>
      <c r="F7" s="64" t="s">
        <v>301</v>
      </c>
      <c r="G7" s="84"/>
    </row>
    <row r="8" spans="1:7" x14ac:dyDescent="0.25">
      <c r="A8" s="64" t="s">
        <v>56</v>
      </c>
      <c r="B8" s="84">
        <v>3.1</v>
      </c>
      <c r="C8" s="85">
        <v>252</v>
      </c>
      <c r="D8" s="28" t="s">
        <v>300</v>
      </c>
      <c r="F8" s="64"/>
      <c r="G8" s="84"/>
    </row>
    <row r="9" spans="1:7" x14ac:dyDescent="0.25">
      <c r="A9" s="64" t="s">
        <v>301</v>
      </c>
      <c r="B9" s="84">
        <v>2.2000000000000002</v>
      </c>
      <c r="C9" s="85">
        <v>400</v>
      </c>
      <c r="D9" s="28" t="s">
        <v>300</v>
      </c>
      <c r="F9" s="64"/>
      <c r="G9" s="84"/>
    </row>
    <row r="10" spans="1:7" x14ac:dyDescent="0.25">
      <c r="A10" s="64" t="s">
        <v>301</v>
      </c>
      <c r="B10" s="84">
        <v>3.1</v>
      </c>
      <c r="C10" s="85">
        <v>500</v>
      </c>
      <c r="D10" s="28" t="s">
        <v>300</v>
      </c>
      <c r="F10" s="64"/>
      <c r="G10" s="84"/>
    </row>
    <row r="11" spans="1:7" x14ac:dyDescent="0.25">
      <c r="A11" s="64"/>
      <c r="B11" s="84"/>
      <c r="C11" s="85"/>
      <c r="D11" s="28"/>
      <c r="F11" s="64"/>
      <c r="G11" s="84"/>
    </row>
    <row r="12" spans="1:7" x14ac:dyDescent="0.25">
      <c r="A12" s="64"/>
      <c r="B12" s="84"/>
      <c r="C12" s="85"/>
      <c r="D12" s="28"/>
      <c r="F12" s="64"/>
      <c r="G12" s="84"/>
    </row>
    <row r="13" spans="1:7" x14ac:dyDescent="0.25">
      <c r="A13" s="64"/>
      <c r="B13" s="84"/>
      <c r="C13" s="85"/>
      <c r="D13" s="28"/>
      <c r="F13" s="64"/>
      <c r="G13" s="84"/>
    </row>
    <row r="14" spans="1:7" x14ac:dyDescent="0.25">
      <c r="A14" s="64"/>
      <c r="B14" s="84"/>
      <c r="C14" s="85"/>
      <c r="D14" s="28"/>
      <c r="F14" s="64"/>
      <c r="G14" s="84"/>
    </row>
    <row r="15" spans="1:7" x14ac:dyDescent="0.25">
      <c r="A15" s="64"/>
      <c r="B15" s="84"/>
      <c r="C15" s="85"/>
      <c r="D15" s="28"/>
      <c r="F15" s="64"/>
      <c r="G15" s="84"/>
    </row>
    <row r="16" spans="1:7" x14ac:dyDescent="0.25">
      <c r="A16" s="64"/>
      <c r="B16" s="84"/>
      <c r="C16" s="85"/>
      <c r="D16" s="28"/>
      <c r="F16" s="64"/>
      <c r="G16" s="84"/>
    </row>
    <row r="17" spans="1:7" x14ac:dyDescent="0.25">
      <c r="A17" s="64"/>
      <c r="B17" s="84"/>
      <c r="C17" s="85"/>
      <c r="D17" s="28"/>
      <c r="F17" s="64"/>
      <c r="G17" s="84"/>
    </row>
    <row r="18" spans="1:7" x14ac:dyDescent="0.25">
      <c r="A18" s="64"/>
      <c r="B18" s="84"/>
      <c r="C18" s="85"/>
      <c r="D18" s="28"/>
      <c r="F18" s="64"/>
      <c r="G18" s="84"/>
    </row>
    <row r="19" spans="1:7" x14ac:dyDescent="0.25">
      <c r="A19" s="64"/>
      <c r="B19" s="84"/>
      <c r="C19" s="85"/>
      <c r="D19" s="28"/>
      <c r="F19" s="64"/>
      <c r="G19" s="84"/>
    </row>
    <row r="20" spans="1:7" x14ac:dyDescent="0.25">
      <c r="A20" s="64"/>
      <c r="B20" s="84"/>
      <c r="C20" s="85"/>
      <c r="D20" s="28"/>
    </row>
    <row r="21" spans="1:7" x14ac:dyDescent="0.25">
      <c r="A21" s="64"/>
      <c r="B21" s="84"/>
      <c r="C21" s="85"/>
      <c r="D21" s="28"/>
    </row>
    <row r="22" spans="1:7" x14ac:dyDescent="0.25">
      <c r="A22" s="64"/>
      <c r="B22" s="84"/>
      <c r="C22" s="85"/>
      <c r="D22" s="28"/>
    </row>
    <row r="23" spans="1:7" x14ac:dyDescent="0.25">
      <c r="A23" s="64"/>
      <c r="B23" s="84"/>
      <c r="C23" s="85"/>
      <c r="D23" s="28"/>
    </row>
    <row r="24" spans="1:7" x14ac:dyDescent="0.25">
      <c r="A24" s="64"/>
      <c r="B24" s="84"/>
      <c r="C24" s="85"/>
      <c r="D24" s="28"/>
    </row>
    <row r="25" spans="1:7" x14ac:dyDescent="0.25">
      <c r="A25" s="64"/>
      <c r="B25" s="84"/>
      <c r="C25" s="85"/>
      <c r="D25" s="28"/>
    </row>
    <row r="26" spans="1:7" x14ac:dyDescent="0.25">
      <c r="A26" s="64"/>
      <c r="B26" s="84"/>
      <c r="C26" s="85"/>
      <c r="D26" s="28"/>
    </row>
    <row r="27" spans="1:7" x14ac:dyDescent="0.25">
      <c r="A27" s="64"/>
      <c r="B27" s="84"/>
      <c r="C27" s="85"/>
      <c r="D27" s="28"/>
    </row>
    <row r="28" spans="1:7" x14ac:dyDescent="0.25">
      <c r="A28" s="64"/>
      <c r="B28" s="84"/>
      <c r="C28" s="85"/>
      <c r="D28" s="28"/>
    </row>
    <row r="29" spans="1:7" x14ac:dyDescent="0.25">
      <c r="A29" s="64"/>
      <c r="B29" s="84"/>
      <c r="C29" s="85"/>
      <c r="D29" s="28"/>
    </row>
    <row r="30" spans="1:7" x14ac:dyDescent="0.25">
      <c r="A30" s="64"/>
      <c r="B30" s="84"/>
      <c r="C30" s="85"/>
      <c r="D30" s="28"/>
    </row>
    <row r="31" spans="1:7" x14ac:dyDescent="0.25">
      <c r="A31" s="64"/>
      <c r="B31" s="84"/>
      <c r="C31" s="85"/>
      <c r="D31" s="28"/>
    </row>
    <row r="32" spans="1:7" x14ac:dyDescent="0.25">
      <c r="A32" s="64"/>
      <c r="B32" s="84"/>
      <c r="C32" s="85"/>
      <c r="D32" s="28"/>
    </row>
    <row r="33" spans="1:4" x14ac:dyDescent="0.25">
      <c r="A33" s="64"/>
      <c r="B33" s="84"/>
      <c r="C33" s="85"/>
      <c r="D33" s="28"/>
    </row>
    <row r="34" spans="1:4" x14ac:dyDescent="0.25">
      <c r="A34" s="64"/>
      <c r="B34" s="84"/>
      <c r="C34" s="85"/>
      <c r="D34" s="28"/>
    </row>
  </sheetData>
  <pageMargins left="0.75" right="0.75" top="1" bottom="1" header="0.511811023622047" footer="0.511811023622047"/>
  <pageSetup paperSize="9" fitToHeight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40" customWidth="1"/>
    <col min="2" max="10" width="14" customWidth="1"/>
    <col min="11" max="11" width="16" customWidth="1"/>
    <col min="12" max="12" width="14" customWidth="1"/>
  </cols>
  <sheetData>
    <row r="1" spans="1:12" ht="18" x14ac:dyDescent="0.25">
      <c r="A1" s="1" t="s">
        <v>302</v>
      </c>
    </row>
    <row r="2" spans="1:12" x14ac:dyDescent="0.25">
      <c r="A2" s="2" t="s">
        <v>303</v>
      </c>
    </row>
    <row r="4" spans="1:12" ht="36" customHeight="1" x14ac:dyDescent="0.25">
      <c r="A4" s="6" t="s">
        <v>42</v>
      </c>
      <c r="B4" s="6" t="s">
        <v>46</v>
      </c>
      <c r="C4" s="6" t="s">
        <v>58</v>
      </c>
      <c r="D4" s="6" t="s">
        <v>67</v>
      </c>
      <c r="E4" s="6" t="s">
        <v>74</v>
      </c>
      <c r="F4" s="6" t="s">
        <v>69</v>
      </c>
      <c r="G4" s="6" t="s">
        <v>77</v>
      </c>
      <c r="H4" s="6" t="s">
        <v>79</v>
      </c>
      <c r="I4" s="6" t="s">
        <v>81</v>
      </c>
      <c r="J4" s="6" t="s">
        <v>91</v>
      </c>
      <c r="K4" s="6" t="s">
        <v>125</v>
      </c>
      <c r="L4" s="6" t="s">
        <v>304</v>
      </c>
    </row>
    <row r="5" spans="1:12" x14ac:dyDescent="0.25">
      <c r="A5" s="25" t="s">
        <v>305</v>
      </c>
      <c r="B5" s="40">
        <f>shkaf_soni</f>
        <v>1</v>
      </c>
      <c r="C5" s="40">
        <f>krovat_soni</f>
        <v>1</v>
      </c>
      <c r="D5" s="40">
        <f>IF(p_matras="Yo'q",0,krovat_soni)</f>
        <v>1</v>
      </c>
      <c r="E5" s="40">
        <f>tumba_soni</f>
        <v>1</v>
      </c>
      <c r="F5" s="40">
        <f>trimo_soni</f>
        <v>1</v>
      </c>
      <c r="G5" s="40">
        <f>chest_soni</f>
        <v>1</v>
      </c>
      <c r="H5" s="40">
        <f>pufik_soni</f>
        <v>1</v>
      </c>
      <c r="I5" s="40">
        <f>oyna_soni</f>
        <v>1</v>
      </c>
      <c r="J5" s="40"/>
      <c r="K5" s="40"/>
    </row>
    <row r="6" spans="1:12" x14ac:dyDescent="0.25">
      <c r="A6" s="25" t="s">
        <v>306</v>
      </c>
      <c r="B6" s="25" t="str">
        <f>IF(shkaf_kra=1,"Krasheniy","Laminat")</f>
        <v>Laminat</v>
      </c>
      <c r="C6" s="25" t="s">
        <v>56</v>
      </c>
      <c r="D6" s="25" t="s">
        <v>56</v>
      </c>
      <c r="E6" s="25" t="str">
        <f>IF(tumba_kra=1,"Krasheniy","Laminat")</f>
        <v>Laminat</v>
      </c>
      <c r="F6" s="25" t="str">
        <f>IF(trimo_kra=1,"Krasheniy","Laminat")</f>
        <v>Laminat</v>
      </c>
      <c r="G6" s="25" t="str">
        <f>IF(chest_kra=1,"Krasheniy","Laminat")</f>
        <v>Laminat</v>
      </c>
      <c r="H6" s="25" t="s">
        <v>56</v>
      </c>
      <c r="I6" s="25" t="s">
        <v>56</v>
      </c>
      <c r="J6" s="25" t="s">
        <v>56</v>
      </c>
      <c r="K6" s="25"/>
    </row>
    <row r="7" spans="1:12" x14ac:dyDescent="0.25">
      <c r="A7" s="3" t="s">
        <v>307</v>
      </c>
      <c r="B7" s="10">
        <f>'Laminat xom ashyo'!E51*(1-shkaf_kra)+'Krasheniy xom ashyo'!E37*shkaf_kra</f>
        <v>3059238.9727591034</v>
      </c>
      <c r="C7" s="10">
        <f>'Laminat xom ashyo'!F51</f>
        <v>1182540.8046341636</v>
      </c>
      <c r="D7" s="10">
        <f>'Laminat xom ashyo'!G51</f>
        <v>1200000</v>
      </c>
      <c r="E7" s="10">
        <f>'Laminat xom ashyo'!H51*(1-tumba_kra)+'Krasheniy xom ashyo'!F37*tumba_kra</f>
        <v>578169.10965965618</v>
      </c>
      <c r="F7" s="10">
        <f>'Laminat xom ashyo'!I51*(1-trimo_kra)+'Krasheniy xom ashyo'!G37*trimo_kra</f>
        <v>1382242.7677951509</v>
      </c>
      <c r="G7" s="10">
        <f>'Laminat xom ashyo'!J51*(1-chest_kra)+'Krasheniy xom ashyo'!H37*chest_kra</f>
        <v>1301468.4574773079</v>
      </c>
      <c r="H7" s="10">
        <f>'Laminat xom ashyo'!K51</f>
        <v>185309.21994152851</v>
      </c>
      <c r="I7" s="10">
        <f>'Laminat xom ashyo'!L51</f>
        <v>411547.14285714278</v>
      </c>
      <c r="J7" s="10">
        <f>'Laminat xom ashyo'!M51</f>
        <v>355000</v>
      </c>
      <c r="K7" s="10">
        <f>SUM(B7:J7)</f>
        <v>9655516.4751240537</v>
      </c>
    </row>
    <row r="8" spans="1:12" x14ac:dyDescent="0.25">
      <c r="A8" s="25" t="s">
        <v>308</v>
      </c>
      <c r="B8" s="86">
        <v>1</v>
      </c>
      <c r="C8" s="86">
        <v>1</v>
      </c>
      <c r="D8" s="86">
        <v>0</v>
      </c>
      <c r="E8" s="86">
        <v>1</v>
      </c>
      <c r="F8" s="86">
        <v>1</v>
      </c>
      <c r="G8" s="86">
        <v>1</v>
      </c>
      <c r="H8" s="86">
        <v>1</v>
      </c>
      <c r="I8" s="86">
        <v>1</v>
      </c>
      <c r="J8" s="86">
        <v>1</v>
      </c>
      <c r="K8" s="87"/>
      <c r="L8" s="2" t="s">
        <v>309</v>
      </c>
    </row>
    <row r="9" spans="1:12" x14ac:dyDescent="0.25">
      <c r="A9" s="25" t="s">
        <v>310</v>
      </c>
      <c r="B9" s="9">
        <f t="shared" ref="B9:J9" si="0">B7*usta_foiz*B8</f>
        <v>0</v>
      </c>
      <c r="C9" s="9">
        <f t="shared" si="0"/>
        <v>0</v>
      </c>
      <c r="D9" s="9">
        <f t="shared" si="0"/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  <c r="H9" s="9">
        <f t="shared" si="0"/>
        <v>0</v>
      </c>
      <c r="I9" s="9">
        <f t="shared" si="0"/>
        <v>0</v>
      </c>
      <c r="J9" s="9">
        <f t="shared" si="0"/>
        <v>0</v>
      </c>
      <c r="K9" s="9">
        <f>SUM(B9:J9)</f>
        <v>0</v>
      </c>
    </row>
    <row r="10" spans="1:12" x14ac:dyDescent="0.25">
      <c r="A10" s="43" t="s">
        <v>311</v>
      </c>
      <c r="B10" s="38">
        <f t="shared" ref="B10:J10" si="1">B7+B9</f>
        <v>3059238.9727591034</v>
      </c>
      <c r="C10" s="38">
        <f t="shared" si="1"/>
        <v>1182540.8046341636</v>
      </c>
      <c r="D10" s="38">
        <f t="shared" si="1"/>
        <v>1200000</v>
      </c>
      <c r="E10" s="38">
        <f t="shared" si="1"/>
        <v>578169.10965965618</v>
      </c>
      <c r="F10" s="38">
        <f t="shared" si="1"/>
        <v>1382242.7677951509</v>
      </c>
      <c r="G10" s="38">
        <f t="shared" si="1"/>
        <v>1301468.4574773079</v>
      </c>
      <c r="H10" s="38">
        <f t="shared" si="1"/>
        <v>185309.21994152851</v>
      </c>
      <c r="I10" s="38">
        <f t="shared" si="1"/>
        <v>411547.14285714278</v>
      </c>
      <c r="J10" s="38">
        <f t="shared" si="1"/>
        <v>355000</v>
      </c>
      <c r="K10" s="38">
        <f>SUM(B10:J10)</f>
        <v>9655516.4751240537</v>
      </c>
    </row>
    <row r="11" spans="1:12" x14ac:dyDescent="0.25">
      <c r="A11" s="25" t="s">
        <v>312</v>
      </c>
      <c r="B11" s="9">
        <f t="shared" ref="B11:I11" si="2">IF(B5=0,0,B10/B5)</f>
        <v>3059238.9727591034</v>
      </c>
      <c r="C11" s="9">
        <f t="shared" si="2"/>
        <v>1182540.8046341636</v>
      </c>
      <c r="D11" s="9">
        <f t="shared" si="2"/>
        <v>1200000</v>
      </c>
      <c r="E11" s="9">
        <f t="shared" si="2"/>
        <v>578169.10965965618</v>
      </c>
      <c r="F11" s="9">
        <f t="shared" si="2"/>
        <v>1382242.7677951509</v>
      </c>
      <c r="G11" s="9">
        <f t="shared" si="2"/>
        <v>1301468.4574773079</v>
      </c>
      <c r="H11" s="9">
        <f t="shared" si="2"/>
        <v>185309.21994152851</v>
      </c>
      <c r="I11" s="9">
        <f t="shared" si="2"/>
        <v>411547.14285714278</v>
      </c>
      <c r="J11" s="9">
        <f>J10</f>
        <v>355000</v>
      </c>
      <c r="K11" s="9"/>
    </row>
    <row r="12" spans="1:12" x14ac:dyDescent="0.25">
      <c r="A12" s="25" t="s">
        <v>158</v>
      </c>
      <c r="B12" s="9">
        <f t="shared" ref="B12:I12" si="3">IF(B5=0,0,ROUNDUP(B10*(1+savdo_ustama)/B5/yaxlit,0)*yaxlit)</f>
        <v>3060000</v>
      </c>
      <c r="C12" s="9">
        <f t="shared" si="3"/>
        <v>1183000</v>
      </c>
      <c r="D12" s="9">
        <f t="shared" si="3"/>
        <v>1200000</v>
      </c>
      <c r="E12" s="9">
        <f t="shared" si="3"/>
        <v>579000</v>
      </c>
      <c r="F12" s="9">
        <f t="shared" si="3"/>
        <v>1383000</v>
      </c>
      <c r="G12" s="9">
        <f t="shared" si="3"/>
        <v>1302000</v>
      </c>
      <c r="H12" s="9">
        <f t="shared" si="3"/>
        <v>186000</v>
      </c>
      <c r="I12" s="9">
        <f t="shared" si="3"/>
        <v>412000</v>
      </c>
      <c r="J12" s="9">
        <f>ROUNDUP(J10*(1+savdo_ustama)/yaxlit,0)*yaxlit</f>
        <v>355000</v>
      </c>
      <c r="K12" s="9"/>
    </row>
    <row r="13" spans="1:12" x14ac:dyDescent="0.25">
      <c r="A13" s="43" t="s">
        <v>159</v>
      </c>
      <c r="B13" s="38">
        <f t="shared" ref="B13:I13" si="4">B12*B5</f>
        <v>3060000</v>
      </c>
      <c r="C13" s="38">
        <f t="shared" si="4"/>
        <v>1183000</v>
      </c>
      <c r="D13" s="38">
        <f t="shared" si="4"/>
        <v>1200000</v>
      </c>
      <c r="E13" s="38">
        <f t="shared" si="4"/>
        <v>579000</v>
      </c>
      <c r="F13" s="38">
        <f t="shared" si="4"/>
        <v>1383000</v>
      </c>
      <c r="G13" s="38">
        <f t="shared" si="4"/>
        <v>1302000</v>
      </c>
      <c r="H13" s="38">
        <f t="shared" si="4"/>
        <v>186000</v>
      </c>
      <c r="I13" s="38">
        <f t="shared" si="4"/>
        <v>412000</v>
      </c>
      <c r="J13" s="38">
        <f>J12</f>
        <v>355000</v>
      </c>
      <c r="K13" s="38">
        <f>SUM(B13:J13)</f>
        <v>9660000</v>
      </c>
    </row>
    <row r="14" spans="1:12" x14ac:dyDescent="0.25">
      <c r="A14" s="25" t="s">
        <v>313</v>
      </c>
      <c r="B14" s="9">
        <f t="shared" ref="B14:J14" si="5">B13-B10</f>
        <v>761.0272408965975</v>
      </c>
      <c r="C14" s="9">
        <f t="shared" si="5"/>
        <v>459.19536583637819</v>
      </c>
      <c r="D14" s="9">
        <f t="shared" si="5"/>
        <v>0</v>
      </c>
      <c r="E14" s="9">
        <f t="shared" si="5"/>
        <v>830.89034034381621</v>
      </c>
      <c r="F14" s="9">
        <f t="shared" si="5"/>
        <v>757.23220484913327</v>
      </c>
      <c r="G14" s="9">
        <f t="shared" si="5"/>
        <v>531.54252269212157</v>
      </c>
      <c r="H14" s="9">
        <f t="shared" si="5"/>
        <v>690.78005847148597</v>
      </c>
      <c r="I14" s="9">
        <f t="shared" si="5"/>
        <v>452.8571428572177</v>
      </c>
      <c r="J14" s="9">
        <f t="shared" si="5"/>
        <v>0</v>
      </c>
      <c r="K14" s="9">
        <f>SUM(B14:J14)</f>
        <v>4483.5248759467504</v>
      </c>
    </row>
    <row r="15" spans="1:12" x14ac:dyDescent="0.25">
      <c r="A15" s="25" t="s">
        <v>314</v>
      </c>
      <c r="B15" s="73">
        <f t="shared" ref="B15:J15" si="6">B10/kurs_joriy</f>
        <v>255.72506668553902</v>
      </c>
      <c r="C15" s="73">
        <f t="shared" si="6"/>
        <v>98.849854102997881</v>
      </c>
      <c r="D15" s="73">
        <f t="shared" si="6"/>
        <v>100.3092869681518</v>
      </c>
      <c r="E15" s="73">
        <f t="shared" si="6"/>
        <v>48.329775947476065</v>
      </c>
      <c r="F15" s="73">
        <f t="shared" si="6"/>
        <v>115.54315537868017</v>
      </c>
      <c r="G15" s="73">
        <f t="shared" si="6"/>
        <v>108.79114415090763</v>
      </c>
      <c r="H15" s="73">
        <f t="shared" si="6"/>
        <v>15.490196434132619</v>
      </c>
      <c r="I15" s="73">
        <f t="shared" si="6"/>
        <v>34.401667044816747</v>
      </c>
      <c r="J15" s="73">
        <f t="shared" si="6"/>
        <v>29.674830728078241</v>
      </c>
      <c r="K15" s="73">
        <f>SUM(B15:J15)</f>
        <v>807.11497744078008</v>
      </c>
    </row>
    <row r="17" spans="1:12" ht="15.75" x14ac:dyDescent="0.25">
      <c r="A17" s="17" t="s">
        <v>315</v>
      </c>
    </row>
    <row r="18" spans="1:12" x14ac:dyDescent="0.25">
      <c r="A18" s="25" t="s">
        <v>316</v>
      </c>
      <c r="B18" s="9">
        <f>'Laminat xom ashyo'!E51*(1+usta_foiz*B8)</f>
        <v>3059238.9727591034</v>
      </c>
      <c r="C18" s="9">
        <f>'Laminat xom ashyo'!F51*(1+usta_foiz*C8)</f>
        <v>1182540.8046341636</v>
      </c>
      <c r="D18" s="9">
        <f>'Laminat xom ashyo'!G51*(1+usta_foiz*D8)</f>
        <v>1200000</v>
      </c>
      <c r="E18" s="9">
        <f>'Laminat xom ashyo'!H51*(1+usta_foiz*E8)</f>
        <v>578169.10965965618</v>
      </c>
      <c r="F18" s="9">
        <f>'Laminat xom ashyo'!I51*(1+usta_foiz*F8)</f>
        <v>1382242.7677951509</v>
      </c>
      <c r="G18" s="9">
        <f>'Laminat xom ashyo'!J51*(1+usta_foiz*G8)</f>
        <v>1301468.4574773079</v>
      </c>
      <c r="H18" s="9">
        <f>'Laminat xom ashyo'!K51*(1+usta_foiz*H8)</f>
        <v>185309.21994152851</v>
      </c>
      <c r="I18" s="9">
        <f>'Laminat xom ashyo'!L51*(1+usta_foiz*I8)</f>
        <v>411547.14285714278</v>
      </c>
      <c r="J18" s="9">
        <f>'Laminat xom ashyo'!M51*(1+usta_foiz*J8)</f>
        <v>355000</v>
      </c>
      <c r="K18" s="9">
        <f>SUM(B18:J18)</f>
        <v>9655516.4751240537</v>
      </c>
    </row>
    <row r="19" spans="1:12" x14ac:dyDescent="0.25">
      <c r="A19" s="25" t="s">
        <v>317</v>
      </c>
      <c r="B19" s="9">
        <f t="shared" ref="B19:I19" si="7">IF(B5=0,0,ROUNDUP(B18*(1+savdo_ustama)/B5/yaxlit,0)*yaxlit*B5)</f>
        <v>3060000</v>
      </c>
      <c r="C19" s="9">
        <f t="shared" si="7"/>
        <v>1183000</v>
      </c>
      <c r="D19" s="9">
        <f t="shared" si="7"/>
        <v>1200000</v>
      </c>
      <c r="E19" s="9">
        <f t="shared" si="7"/>
        <v>579000</v>
      </c>
      <c r="F19" s="9">
        <f t="shared" si="7"/>
        <v>1383000</v>
      </c>
      <c r="G19" s="9">
        <f t="shared" si="7"/>
        <v>1302000</v>
      </c>
      <c r="H19" s="9">
        <f t="shared" si="7"/>
        <v>186000</v>
      </c>
      <c r="I19" s="9">
        <f t="shared" si="7"/>
        <v>412000</v>
      </c>
      <c r="J19" s="9">
        <f>ROUNDUP(J18*(1+savdo_ustama)/yaxlit,0)*yaxlit</f>
        <v>355000</v>
      </c>
      <c r="K19" s="9">
        <f>SUM(B19:J19)</f>
        <v>9660000</v>
      </c>
    </row>
    <row r="20" spans="1:12" x14ac:dyDescent="0.25">
      <c r="A20" s="25" t="s">
        <v>318</v>
      </c>
      <c r="B20" s="25" t="str">
        <f>'Krasheniy xom ashyo'!E3</f>
        <v>to'liq (taqqoslash)</v>
      </c>
      <c r="C20" s="25" t="s">
        <v>176</v>
      </c>
      <c r="D20" s="25" t="s">
        <v>176</v>
      </c>
      <c r="E20" s="25" t="str">
        <f>'Krasheniy xom ashyo'!F3</f>
        <v>to'liq (taqqoslash)</v>
      </c>
      <c r="F20" s="25" t="str">
        <f>'Krasheniy xom ashyo'!G3</f>
        <v>to'liq (taqqoslash)</v>
      </c>
      <c r="G20" s="25" t="str">
        <f>'Krasheniy xom ashyo'!H3</f>
        <v>to'liq (taqqoslash)</v>
      </c>
      <c r="H20" s="25" t="s">
        <v>176</v>
      </c>
      <c r="I20" s="25" t="s">
        <v>176</v>
      </c>
      <c r="J20" s="25" t="s">
        <v>176</v>
      </c>
      <c r="K20" s="25"/>
    </row>
    <row r="21" spans="1:12" x14ac:dyDescent="0.25">
      <c r="A21" s="25" t="s">
        <v>319</v>
      </c>
      <c r="B21" s="9">
        <f>'Krasheniy xom ashyo'!E37*(1+usta_foiz*B8)</f>
        <v>2169528.5818860875</v>
      </c>
      <c r="C21" s="9">
        <v>0</v>
      </c>
      <c r="D21" s="9">
        <v>0</v>
      </c>
      <c r="E21" s="9">
        <f>'Krasheniy xom ashyo'!F37*(1+usta_foiz*E8)</f>
        <v>468116.39418346575</v>
      </c>
      <c r="F21" s="9">
        <f>'Krasheniy xom ashyo'!G37*(1+usta_foiz*F8)</f>
        <v>1065818.7277157858</v>
      </c>
      <c r="G21" s="9">
        <f>'Krasheniy xom ashyo'!H37*(1+usta_foiz*G8)</f>
        <v>1052132.8439852444</v>
      </c>
      <c r="H21" s="9">
        <v>0</v>
      </c>
      <c r="I21" s="9">
        <v>0</v>
      </c>
      <c r="J21" s="9">
        <v>0</v>
      </c>
      <c r="K21" s="9">
        <f>SUM(B21:J21)</f>
        <v>4755596.547770584</v>
      </c>
    </row>
    <row r="22" spans="1:12" x14ac:dyDescent="0.25">
      <c r="A22" s="25" t="s">
        <v>320</v>
      </c>
      <c r="B22" s="9">
        <f>IF(B5=0,0,ROUNDUP(B21*(1+savdo_ustama)/B5/yaxlit,0)*yaxlit*B5)</f>
        <v>2170000</v>
      </c>
      <c r="C22" s="9">
        <v>0</v>
      </c>
      <c r="D22" s="9">
        <v>0</v>
      </c>
      <c r="E22" s="9">
        <f>IF(E5=0,0,ROUNDUP(E21*(1+savdo_ustama)/E5/yaxlit,0)*yaxlit*E5)</f>
        <v>469000</v>
      </c>
      <c r="F22" s="9">
        <f>IF(F5=0,0,ROUNDUP(F21*(1+savdo_ustama)/F5/yaxlit,0)*yaxlit*F5)</f>
        <v>1066000</v>
      </c>
      <c r="G22" s="9">
        <f>IF(G5=0,0,ROUNDUP(G21*(1+savdo_ustama)/G5/yaxlit,0)*yaxlit*G5)</f>
        <v>1053000</v>
      </c>
      <c r="H22" s="9">
        <v>0</v>
      </c>
      <c r="I22" s="9">
        <v>0</v>
      </c>
      <c r="J22" s="9">
        <v>0</v>
      </c>
      <c r="K22" s="9">
        <f>SUM(B22:J22)</f>
        <v>4758000</v>
      </c>
    </row>
    <row r="24" spans="1:12" ht="15.75" x14ac:dyDescent="0.25">
      <c r="A24" s="17" t="s">
        <v>321</v>
      </c>
    </row>
    <row r="25" spans="1:12" x14ac:dyDescent="0.25">
      <c r="A25" s="25" t="s">
        <v>322</v>
      </c>
      <c r="B25" s="42">
        <f>'Laminat xom ashyo'!E5*(1-shkaf_kra)+'Krasheniy xom ashyo'!E5*shkaf_kra</f>
        <v>2.7726000690131123</v>
      </c>
      <c r="C25" s="42">
        <f>'Laminat xom ashyo'!F5</f>
        <v>1.074223602484472</v>
      </c>
      <c r="D25" s="42">
        <f>'Laminat xom ashyo'!G5</f>
        <v>0</v>
      </c>
      <c r="E25" s="42">
        <f>'Laminat xom ashyo'!H5*(1-tumba_kra)+'Krasheniy xom ashyo'!F5*tumba_kra</f>
        <v>0.29118875086266388</v>
      </c>
      <c r="F25" s="42">
        <f>'Laminat xom ashyo'!I5*(1-trimo_kra)+'Krasheniy xom ashyo'!G5*trimo_kra</f>
        <v>0.92537991718426515</v>
      </c>
      <c r="G25" s="42">
        <f>'Laminat xom ashyo'!J5*(1-chest_kra)+'Krasheniy xom ashyo'!H5*chest_kra</f>
        <v>0.69172325741890961</v>
      </c>
      <c r="H25" s="42">
        <f>'Laminat xom ashyo'!K5</f>
        <v>0.12035886818495514</v>
      </c>
      <c r="I25" s="42">
        <f>'Laminat xom ashyo'!L5</f>
        <v>0.23809523809523805</v>
      </c>
      <c r="J25" s="42">
        <f>'Laminat xom ashyo'!M5</f>
        <v>0</v>
      </c>
      <c r="K25" s="42">
        <f>SUM(B25:J25)</f>
        <v>6.1135697032436163</v>
      </c>
      <c r="L25" s="45">
        <f>ROUNDUP(K25*(1+'Laminat xom ashyo'!O5),0)</f>
        <v>8</v>
      </c>
    </row>
    <row r="26" spans="1:12" x14ac:dyDescent="0.25">
      <c r="A26" s="25" t="s">
        <v>277</v>
      </c>
      <c r="B26" s="42">
        <f>'Krasheniy xom ashyo'!E6*shkaf_kra</f>
        <v>0</v>
      </c>
      <c r="C26" s="42">
        <f>0</f>
        <v>0</v>
      </c>
      <c r="D26" s="42">
        <f>0</f>
        <v>0</v>
      </c>
      <c r="E26" s="42">
        <f>'Krasheniy xom ashyo'!F6*tumba_kra</f>
        <v>0</v>
      </c>
      <c r="F26" s="42">
        <f>'Krasheniy xom ashyo'!G6*trimo_kra</f>
        <v>0</v>
      </c>
      <c r="G26" s="42">
        <f>'Krasheniy xom ashyo'!H6*chest_kra</f>
        <v>0</v>
      </c>
      <c r="H26" s="42">
        <f>0</f>
        <v>0</v>
      </c>
      <c r="I26" s="42">
        <f>0</f>
        <v>0</v>
      </c>
      <c r="J26" s="42">
        <f>0</f>
        <v>0</v>
      </c>
      <c r="K26" s="42">
        <f>SUM(B26:J26)</f>
        <v>0</v>
      </c>
      <c r="L26" s="45">
        <f>ROUNDUP(K26*(1+'Krasheniy xom ashyo'!K6),0)</f>
        <v>0</v>
      </c>
    </row>
    <row r="27" spans="1:12" x14ac:dyDescent="0.25">
      <c r="A27" s="25" t="s">
        <v>323</v>
      </c>
      <c r="B27" s="42">
        <f>'Laminat xom ashyo'!E6*(1-shkaf_kra)+'Krasheniy xom ashyo'!E11*shkaf_kra</f>
        <v>0</v>
      </c>
      <c r="C27" s="42">
        <f>'Laminat xom ashyo'!F6</f>
        <v>0.71685086934923004</v>
      </c>
      <c r="D27" s="42">
        <f>'Laminat xom ashyo'!G6</f>
        <v>0</v>
      </c>
      <c r="E27" s="42">
        <f>'Laminat xom ashyo'!H6*(1-tumba_kra)+'Krasheniy xom ashyo'!F11*tumba_kra</f>
        <v>0</v>
      </c>
      <c r="F27" s="42">
        <f>'Laminat xom ashyo'!I6*(1-trimo_kra)+'Krasheniy xom ashyo'!G11*trimo_kra</f>
        <v>0</v>
      </c>
      <c r="G27" s="42">
        <f>'Laminat xom ashyo'!J6*(1-chest_kra)+'Krasheniy xom ashyo'!H11*chest_kra</f>
        <v>0</v>
      </c>
      <c r="H27" s="42">
        <f>'Laminat xom ashyo'!K6</f>
        <v>0</v>
      </c>
      <c r="I27" s="42">
        <f>'Laminat xom ashyo'!L6</f>
        <v>0</v>
      </c>
      <c r="J27" s="42">
        <f>'Laminat xom ashyo'!M6</f>
        <v>0</v>
      </c>
      <c r="K27" s="42">
        <f>SUM(B27:J27)</f>
        <v>0.71685086934923004</v>
      </c>
      <c r="L27" s="45">
        <f>ROUNDUP(K27*(1+'Laminat xom ashyo'!O6),0)</f>
        <v>1</v>
      </c>
    </row>
    <row r="28" spans="1:12" x14ac:dyDescent="0.25">
      <c r="A28" s="25" t="s">
        <v>324</v>
      </c>
      <c r="B28" s="42">
        <f>'Laminat xom ashyo'!E7*(1-shkaf_kra)+'Krasheniy xom ashyo'!E12*shkaf_kra</f>
        <v>0</v>
      </c>
      <c r="C28" s="42">
        <f>'Laminat xom ashyo'!F7</f>
        <v>0</v>
      </c>
      <c r="D28" s="42">
        <f>'Laminat xom ashyo'!G7</f>
        <v>0</v>
      </c>
      <c r="E28" s="42">
        <f>'Laminat xom ashyo'!H7*(1-tumba_kra)+'Krasheniy xom ashyo'!F12*tumba_kra</f>
        <v>0</v>
      </c>
      <c r="F28" s="42">
        <f>'Laminat xom ashyo'!I7*(1-trimo_kra)+'Krasheniy xom ashyo'!G12*trimo_kra</f>
        <v>0</v>
      </c>
      <c r="G28" s="42">
        <f>'Laminat xom ashyo'!J7*(1-chest_kra)+'Krasheniy xom ashyo'!H12*chest_kra</f>
        <v>0</v>
      </c>
      <c r="H28" s="42">
        <f>'Laminat xom ashyo'!K7</f>
        <v>0</v>
      </c>
      <c r="I28" s="42">
        <f>'Laminat xom ashyo'!L7</f>
        <v>0</v>
      </c>
      <c r="J28" s="42">
        <f>'Laminat xom ashyo'!M7</f>
        <v>0</v>
      </c>
      <c r="K28" s="42">
        <f>SUM(B28:J28)</f>
        <v>0</v>
      </c>
      <c r="L28" s="45">
        <f>ROUNDUP(K28*(1+'Laminat xom ashyo'!O7),0)</f>
        <v>0</v>
      </c>
    </row>
    <row r="29" spans="1:12" x14ac:dyDescent="0.25">
      <c r="A29" s="25" t="s">
        <v>325</v>
      </c>
      <c r="B29" s="42">
        <f>'Laminat xom ashyo'!E8*(1-shkaf_kra)+'Krasheniy xom ashyo'!E7*shkaf_kra</f>
        <v>1.123764705882353</v>
      </c>
      <c r="C29" s="42">
        <f>'Laminat xom ashyo'!F8</f>
        <v>0</v>
      </c>
      <c r="D29" s="42">
        <f>'Laminat xom ashyo'!G8</f>
        <v>0</v>
      </c>
      <c r="E29" s="42">
        <f>'Laminat xom ashyo'!H8*(1-tumba_kra)+'Krasheniy xom ashyo'!F7*tumba_kra</f>
        <v>0.12795028393871211</v>
      </c>
      <c r="F29" s="42">
        <f>'Laminat xom ashyo'!I8*(1-trimo_kra)+'Krasheniy xom ashyo'!G7*trimo_kra</f>
        <v>0.40200578592092573</v>
      </c>
      <c r="G29" s="42">
        <f>'Laminat xom ashyo'!J8*(1-chest_kra)+'Krasheniy xom ashyo'!H7*chest_kra</f>
        <v>0.45337619200685736</v>
      </c>
      <c r="H29" s="42">
        <f>'Laminat xom ashyo'!K8</f>
        <v>3.4286938819243544E-2</v>
      </c>
      <c r="I29" s="42">
        <f>'Laminat xom ashyo'!L8</f>
        <v>0</v>
      </c>
      <c r="J29" s="42">
        <f>'Laminat xom ashyo'!M8</f>
        <v>0</v>
      </c>
      <c r="K29" s="42">
        <f>SUM(B29:J29)</f>
        <v>2.141383906568092</v>
      </c>
      <c r="L29" s="45">
        <f>ROUNDUP(K29*(1+'Laminat xom ashyo'!O8),0)</f>
        <v>3</v>
      </c>
    </row>
    <row r="31" spans="1:12" x14ac:dyDescent="0.25">
      <c r="A31" s="25" t="s">
        <v>326</v>
      </c>
      <c r="B31" s="80">
        <f>'Laminat xom ashyo'!D52</f>
        <v>3</v>
      </c>
    </row>
    <row r="32" spans="1:12" x14ac:dyDescent="0.25">
      <c r="A32" s="25" t="s">
        <v>327</v>
      </c>
      <c r="B32" s="80">
        <f>'Krasheniy xom ashyo'!D38</f>
        <v>9</v>
      </c>
    </row>
    <row r="33" spans="1:6" x14ac:dyDescent="0.25">
      <c r="A33" s="25" t="s">
        <v>328</v>
      </c>
      <c r="B33" s="87">
        <f>IF(shkaf_kra+tumba_kra+trimo_kra+chest_kra&gt;0,1,0)</f>
        <v>0</v>
      </c>
    </row>
    <row r="34" spans="1:6" x14ac:dyDescent="0.25">
      <c r="A34" s="25" t="s">
        <v>329</v>
      </c>
      <c r="B34" s="3" t="str">
        <f>IF(AND(ABS(SUM(Furnitura!$E$5:$E$400)-SUM('Laminat xom ashyo'!N12:N42,'Laminat xom ashyo'!N47:N48))&lt;0.001,ABS(SUMIFS(Furnitura!$E$5:$E$400,Furnitura!$B$5:$B$400,"Shkaf")+SUMIFS(Furnitura!$E$5:$E$400,Furnitura!$B$5:$B$400,"Tumbochka")+SUMIFS(Furnitura!$E$5:$E$400,Furnitura!$B$5:$B$400,"Trimo")+SUMIFS(Furnitura!$E$5:$E$400,Furnitura!$B$5:$B$400,"Chester")+SUMIFS(Furnitura!$E$5:$E$400,Furnitura!$B$5:$B$400,"Krovat",Furnitura!$C$5:$C$400,"Kapot ko'tarish mexanizmi (nasos)")-SUM('Krasheniy xom ashyo'!J13,'Krasheniy xom ashyo'!J20:J33))&lt;0.001),"OK","XATO")</f>
        <v>OK</v>
      </c>
    </row>
    <row r="36" spans="1:6" ht="15.75" x14ac:dyDescent="0.25">
      <c r="A36" s="17" t="s">
        <v>330</v>
      </c>
    </row>
    <row r="37" spans="1:6" ht="25.5" x14ac:dyDescent="0.25">
      <c r="A37" s="6" t="s">
        <v>41</v>
      </c>
      <c r="B37" s="6" t="s">
        <v>87</v>
      </c>
      <c r="C37" s="6" t="s">
        <v>88</v>
      </c>
      <c r="D37" s="6" t="s">
        <v>331</v>
      </c>
      <c r="E37" s="6" t="s">
        <v>332</v>
      </c>
      <c r="F37" s="6" t="s">
        <v>333</v>
      </c>
    </row>
    <row r="38" spans="1:6" x14ac:dyDescent="0.25">
      <c r="A38" s="3" t="s">
        <v>46</v>
      </c>
      <c r="B38" s="28" t="str">
        <f>p_shkaf_W&amp;"×"&amp;p_shkaf_D&amp;"×"&amp;p_shkaf_H&amp;" sm, "&amp;p_shkaf_eshik&amp;" eshik, "&amp;p_shkaf_oyna&amp;" oyna"&amp;IF(AND(p_shkaf_yuz="Krasheniy",p_shkaf_yon="Krasheniy"),", to'liq krasheniy",IF(p_shkaf_yuz="Krasheniy",", yuzi krasheniy",IF(p_shkaf_yon="Krasheniy",", yoni krasheniy",", laminat")))</f>
        <v>240×60×220 sm, 6 eshik, 2 oyna, laminat</v>
      </c>
      <c r="C38" s="21">
        <f>B5</f>
        <v>1</v>
      </c>
      <c r="D38" s="9">
        <f>B12</f>
        <v>3060000</v>
      </c>
      <c r="E38" s="9">
        <f>B13</f>
        <v>3060000</v>
      </c>
      <c r="F38" s="21">
        <f>IF(E38&gt;0,COUNTIF(E$38:E38,"&gt;0"),"")</f>
        <v>1</v>
      </c>
    </row>
    <row r="39" spans="1:6" x14ac:dyDescent="0.25">
      <c r="A39" s="3" t="s">
        <v>58</v>
      </c>
      <c r="B39" s="28" t="str">
        <f>p_krovat_W&amp;"×"&amp;p_krovat_L&amp;" sm, spinka "&amp;p_krovat_spinka&amp;" sm"&amp;IF(krovat_fig=1,", figurali","")&amp;IF(krovat_nasos=1,", nasosli kapot",", oddiy kapot")</f>
        <v>170×220 sm, spinka 150 sm, figurali, oddiy kapot</v>
      </c>
      <c r="C39" s="21">
        <f>C5</f>
        <v>1</v>
      </c>
      <c r="D39" s="9">
        <f>C12</f>
        <v>1183000</v>
      </c>
      <c r="E39" s="9">
        <f>C13</f>
        <v>1183000</v>
      </c>
      <c r="F39" s="21">
        <f>IF(E39&gt;0,COUNTIF(E$38:E39,"&gt;0"),"")</f>
        <v>2</v>
      </c>
    </row>
    <row r="40" spans="1:6" x14ac:dyDescent="0.25">
      <c r="A40" s="3" t="s">
        <v>67</v>
      </c>
      <c r="B40" s="28" t="str">
        <f>IF(p_matras="Yo'q","—",p_matras&amp;" sm")</f>
        <v>180x200 sm</v>
      </c>
      <c r="C40" s="21">
        <f>D5</f>
        <v>1</v>
      </c>
      <c r="D40" s="9">
        <f>D12</f>
        <v>1200000</v>
      </c>
      <c r="E40" s="9">
        <f>D13</f>
        <v>1200000</v>
      </c>
      <c r="F40" s="21">
        <f>IF(E40&gt;0,COUNTIF(E$38:E40,"&gt;0"),"")</f>
        <v>3</v>
      </c>
    </row>
    <row r="41" spans="1:6" x14ac:dyDescent="0.25">
      <c r="A41" s="3" t="s">
        <v>74</v>
      </c>
      <c r="B41" s="28" t="str">
        <f>tumba_W/10&amp;"×"&amp;tumba_D/10&amp;"×"&amp;tumba_H/10&amp;" sm, "&amp;tumba_yashik&amp;" yashik"&amp;IF(AND(p_tumba_yuz="Krasheniy",p_tumba_yon="Krasheniy"),", to'liq krasheniy",IF(p_tumba_yuz="Krasheniy",", yuzi krasheniy",IF(p_tumba_yon="Krasheniy",", yoni krasheniy",", laminat")))</f>
        <v>50×40×60 sm, 2 yashik, laminat</v>
      </c>
      <c r="C41" s="21">
        <f>E5</f>
        <v>1</v>
      </c>
      <c r="D41" s="9">
        <f>E12</f>
        <v>579000</v>
      </c>
      <c r="E41" s="9">
        <f>E13</f>
        <v>579000</v>
      </c>
      <c r="F41" s="21">
        <f>IF(E41&gt;0,COUNTIF(E$38:E41,"&gt;0"),"")</f>
        <v>4</v>
      </c>
    </row>
    <row r="42" spans="1:6" x14ac:dyDescent="0.25">
      <c r="A42" s="3" t="s">
        <v>69</v>
      </c>
      <c r="B42" s="28" t="str">
        <f>p_trimo_W&amp;"×"&amp;p_trimo_D&amp;"×"&amp;p_trimo_H&amp;" sm"&amp;IF(AND(p_trimo_yuz="Krasheniy",p_trimo_yon="Krasheniy"),", to'liq krasheniy",IF(p_trimo_yuz="Krasheniy",", yuzi krasheniy",IF(p_trimo_yon="Krasheniy",", yoni krasheniy",", laminat")))</f>
        <v>160×45×83 sm, laminat</v>
      </c>
      <c r="C42" s="21">
        <f>F5</f>
        <v>1</v>
      </c>
      <c r="D42" s="9">
        <f>F12</f>
        <v>1383000</v>
      </c>
      <c r="E42" s="9">
        <f>F13</f>
        <v>1383000</v>
      </c>
      <c r="F42" s="21">
        <f>IF(E42&gt;0,COUNTIF(E$38:E42,"&gt;0"),"")</f>
        <v>5</v>
      </c>
    </row>
    <row r="43" spans="1:6" x14ac:dyDescent="0.25">
      <c r="A43" s="3" t="s">
        <v>77</v>
      </c>
      <c r="B43" s="28" t="str">
        <f>chest_W/10&amp;"×"&amp;chest_D/10&amp;"×"&amp;chest_H/10&amp;" sm, "&amp;chest_yashik&amp;" yashik"&amp;IF(AND(p_chest_yuz="Krasheniy",p_chest_yon="Krasheniy"),", to'liq krasheniy",IF(p_chest_yuz="Krasheniy",", yuzi krasheniy",IF(p_chest_yon="Krasheniy",", yoni krasheniy",", laminat")))</f>
        <v>80×50×100 sm, 4 yashik, laminat</v>
      </c>
      <c r="C43" s="21">
        <f>G5</f>
        <v>1</v>
      </c>
      <c r="D43" s="9">
        <f>G12</f>
        <v>1302000</v>
      </c>
      <c r="E43" s="9">
        <f>G13</f>
        <v>1302000</v>
      </c>
      <c r="F43" s="21">
        <f>IF(E43&gt;0,COUNTIF(E$38:E43,"&gt;0"),"")</f>
        <v>6</v>
      </c>
    </row>
    <row r="44" spans="1:6" x14ac:dyDescent="0.25">
      <c r="A44" s="3" t="s">
        <v>79</v>
      </c>
      <c r="B44" s="28" t="str">
        <f>pufik_W/10&amp;"×"&amp;pufik_W/10&amp;"×"&amp;pufik_H/10&amp;" sm"</f>
        <v>40×40×45 sm</v>
      </c>
      <c r="C44" s="21">
        <f>H5</f>
        <v>1</v>
      </c>
      <c r="D44" s="9">
        <f>H12</f>
        <v>186000</v>
      </c>
      <c r="E44" s="9">
        <f>H13</f>
        <v>186000</v>
      </c>
      <c r="F44" s="21">
        <f>IF(E44&gt;0,COUNTIF(E$38:E44,"&gt;0"),"")</f>
        <v>7</v>
      </c>
    </row>
    <row r="45" spans="1:6" x14ac:dyDescent="0.25">
      <c r="A45" s="3" t="s">
        <v>81</v>
      </c>
      <c r="B45" s="28" t="str">
        <f>oyna_H/10&amp;"×"&amp;oyna_W/10&amp;" sm"</f>
        <v>160×50 sm</v>
      </c>
      <c r="C45" s="21">
        <f>I5</f>
        <v>1</v>
      </c>
      <c r="D45" s="9">
        <f>I12</f>
        <v>412000</v>
      </c>
      <c r="E45" s="9">
        <f>I13</f>
        <v>412000</v>
      </c>
      <c r="F45" s="21">
        <f>IF(E45&gt;0,COUNTIF(E$38:E45,"&gt;0"),"")</f>
        <v>8</v>
      </c>
    </row>
    <row r="46" spans="1:6" x14ac:dyDescent="0.25">
      <c r="A46" s="3" t="s">
        <v>91</v>
      </c>
      <c r="B46" s="28" t="s">
        <v>334</v>
      </c>
      <c r="C46" s="21">
        <f>IF(J13&gt;0,1,0)</f>
        <v>1</v>
      </c>
      <c r="D46" s="9">
        <f>J12</f>
        <v>355000</v>
      </c>
      <c r="E46" s="9">
        <f>J13</f>
        <v>355000</v>
      </c>
      <c r="F46" s="21">
        <f>IF(E46&gt;0,COUNTIF(E$38:E46,"&gt;0"),"")</f>
        <v>9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3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44" customWidth="1"/>
    <col min="2" max="2" width="9" customWidth="1"/>
    <col min="3" max="8" width="14" customWidth="1"/>
    <col min="9" max="9" width="16" customWidth="1"/>
    <col min="10" max="10" width="15" customWidth="1"/>
    <col min="11" max="11" width="11" customWidth="1"/>
    <col min="12" max="12" width="15" customWidth="1"/>
    <col min="13" max="13" width="11" customWidth="1"/>
  </cols>
  <sheetData>
    <row r="1" spans="1:13" ht="18" x14ac:dyDescent="0.25">
      <c r="A1" s="1" t="s">
        <v>335</v>
      </c>
    </row>
    <row r="2" spans="1:13" x14ac:dyDescent="0.25">
      <c r="A2" s="2" t="s">
        <v>336</v>
      </c>
    </row>
    <row r="4" spans="1:13" ht="36" customHeight="1" x14ac:dyDescent="0.25">
      <c r="A4" s="6" t="s">
        <v>42</v>
      </c>
      <c r="B4" s="6" t="s">
        <v>44</v>
      </c>
      <c r="C4" s="6" t="s">
        <v>119</v>
      </c>
      <c r="D4" s="6" t="s">
        <v>120</v>
      </c>
      <c r="E4" s="6" t="s">
        <v>121</v>
      </c>
      <c r="F4" s="6" t="s">
        <v>122</v>
      </c>
      <c r="G4" s="6" t="s">
        <v>123</v>
      </c>
      <c r="H4" s="6" t="s">
        <v>124</v>
      </c>
      <c r="I4" s="6" t="s">
        <v>337</v>
      </c>
      <c r="J4" s="6" t="s">
        <v>338</v>
      </c>
      <c r="K4" s="6" t="s">
        <v>339</v>
      </c>
      <c r="L4" s="6" t="s">
        <v>340</v>
      </c>
      <c r="M4" s="6" t="s">
        <v>341</v>
      </c>
    </row>
    <row r="5" spans="1:13" ht="15.75" x14ac:dyDescent="0.25">
      <c r="A5" s="17" t="s">
        <v>342</v>
      </c>
    </row>
    <row r="6" spans="1:13" x14ac:dyDescent="0.25">
      <c r="A6" s="25" t="s">
        <v>126</v>
      </c>
      <c r="B6" s="27"/>
      <c r="C6" s="25" t="str">
        <f>IF('Korpus mebel'!C7="","",'Korpus mebel'!C7)</f>
        <v>Shkaf</v>
      </c>
      <c r="D6" s="25" t="str">
        <f>IF('Korpus mebel'!D7="","",'Korpus mebel'!D7)</f>
        <v>Prixojka</v>
      </c>
      <c r="E6" s="25" t="str">
        <f>IF('Korpus mebel'!E7="","",'Korpus mebel'!E7)</f>
        <v>Garderob</v>
      </c>
      <c r="F6" s="25" t="str">
        <f>IF('Korpus mebel'!F7="","",'Korpus mebel'!F7)</f>
        <v/>
      </c>
      <c r="G6" s="25" t="str">
        <f>IF('Korpus mebel'!G7="","",'Korpus mebel'!G7)</f>
        <v/>
      </c>
      <c r="H6" s="25" t="str">
        <f>IF('Korpus mebel'!H7="","",'Korpus mebel'!H7)</f>
        <v/>
      </c>
    </row>
    <row r="7" spans="1:13" x14ac:dyDescent="0.25">
      <c r="A7" s="25" t="s">
        <v>88</v>
      </c>
      <c r="B7" s="27" t="s">
        <v>48</v>
      </c>
      <c r="C7" s="40">
        <f>N('Korpus mebel'!C9)</f>
        <v>1</v>
      </c>
      <c r="D7" s="40">
        <f>N('Korpus mebel'!D9)</f>
        <v>1</v>
      </c>
      <c r="E7" s="40">
        <f>N('Korpus mebel'!E9)</f>
        <v>1</v>
      </c>
      <c r="F7" s="40">
        <f>N('Korpus mebel'!F9)</f>
        <v>0</v>
      </c>
      <c r="G7" s="40">
        <f>N('Korpus mebel'!G9)</f>
        <v>0</v>
      </c>
      <c r="H7" s="40">
        <f>N('Korpus mebel'!H9)</f>
        <v>0</v>
      </c>
    </row>
    <row r="8" spans="1:13" x14ac:dyDescent="0.25">
      <c r="A8" s="25" t="s">
        <v>52</v>
      </c>
      <c r="B8" s="27" t="s">
        <v>343</v>
      </c>
      <c r="C8" s="40">
        <f>N('Korpus mebel'!C10)*10</f>
        <v>2000</v>
      </c>
      <c r="D8" s="40">
        <f>N('Korpus mebel'!D10)*10</f>
        <v>1200</v>
      </c>
      <c r="E8" s="40">
        <f>N('Korpus mebel'!E10)*10</f>
        <v>3000</v>
      </c>
      <c r="F8" s="40">
        <f>N('Korpus mebel'!F10)*10</f>
        <v>0</v>
      </c>
      <c r="G8" s="40">
        <f>N('Korpus mebel'!G10)*10</f>
        <v>0</v>
      </c>
      <c r="H8" s="40">
        <f>N('Korpus mebel'!H10)*10</f>
        <v>0</v>
      </c>
    </row>
    <row r="9" spans="1:13" x14ac:dyDescent="0.25">
      <c r="A9" s="25" t="s">
        <v>71</v>
      </c>
      <c r="B9" s="27" t="s">
        <v>343</v>
      </c>
      <c r="C9" s="40">
        <f>N('Korpus mebel'!C11)*10</f>
        <v>2400</v>
      </c>
      <c r="D9" s="40">
        <f>N('Korpus mebel'!D11)*10</f>
        <v>2200</v>
      </c>
      <c r="E9" s="40">
        <f>N('Korpus mebel'!E11)*10</f>
        <v>2500</v>
      </c>
      <c r="F9" s="40">
        <f>N('Korpus mebel'!F11)*10</f>
        <v>0</v>
      </c>
      <c r="G9" s="40">
        <f>N('Korpus mebel'!G11)*10</f>
        <v>0</v>
      </c>
      <c r="H9" s="40">
        <f>N('Korpus mebel'!H11)*10</f>
        <v>0</v>
      </c>
    </row>
    <row r="10" spans="1:13" x14ac:dyDescent="0.25">
      <c r="A10" s="25" t="s">
        <v>134</v>
      </c>
      <c r="B10" s="27" t="s">
        <v>343</v>
      </c>
      <c r="C10" s="40">
        <f>N('Korpus mebel'!C12)*10</f>
        <v>600</v>
      </c>
      <c r="D10" s="40">
        <f>N('Korpus mebel'!D12)*10</f>
        <v>400</v>
      </c>
      <c r="E10" s="40">
        <f>N('Korpus mebel'!E12)*10</f>
        <v>500</v>
      </c>
      <c r="F10" s="40">
        <f>N('Korpus mebel'!F12)*10</f>
        <v>0</v>
      </c>
      <c r="G10" s="40">
        <f>N('Korpus mebel'!G12)*10</f>
        <v>0</v>
      </c>
      <c r="H10" s="40">
        <f>N('Korpus mebel'!H12)*10</f>
        <v>0</v>
      </c>
    </row>
    <row r="11" spans="1:13" x14ac:dyDescent="0.25">
      <c r="A11" s="25" t="s">
        <v>344</v>
      </c>
      <c r="B11" s="27"/>
      <c r="C11" s="87">
        <f t="shared" ref="C11:H11" si="0">IF(AND(C7&gt;0,C8&gt;0,C9&gt;0,C10&gt;0),1,0)</f>
        <v>1</v>
      </c>
      <c r="D11" s="87">
        <f t="shared" si="0"/>
        <v>1</v>
      </c>
      <c r="E11" s="87">
        <f t="shared" si="0"/>
        <v>1</v>
      </c>
      <c r="F11" s="87">
        <f t="shared" si="0"/>
        <v>0</v>
      </c>
      <c r="G11" s="87">
        <f t="shared" si="0"/>
        <v>0</v>
      </c>
      <c r="H11" s="87">
        <f t="shared" si="0"/>
        <v>0</v>
      </c>
    </row>
    <row r="12" spans="1:13" x14ac:dyDescent="0.25">
      <c r="A12" s="25" t="s">
        <v>345</v>
      </c>
      <c r="B12" s="27"/>
      <c r="C12" s="87">
        <f>IF('Korpus mebel'!C14="Oddiy",1,0)</f>
        <v>0</v>
      </c>
      <c r="D12" s="87">
        <f>IF('Korpus mebel'!D14="Oddiy",1,0)</f>
        <v>1</v>
      </c>
      <c r="E12" s="87">
        <f>IF('Korpus mebel'!E14="Oddiy",1,0)</f>
        <v>0</v>
      </c>
      <c r="F12" s="87">
        <f>IF('Korpus mebel'!F14="Oddiy",1,0)</f>
        <v>0</v>
      </c>
      <c r="G12" s="87">
        <f>IF('Korpus mebel'!G14="Oddiy",1,0)</f>
        <v>0</v>
      </c>
      <c r="H12" s="87">
        <f>IF('Korpus mebel'!H14="Oddiy",1,0)</f>
        <v>0</v>
      </c>
    </row>
    <row r="13" spans="1:13" x14ac:dyDescent="0.25">
      <c r="A13" s="25" t="s">
        <v>346</v>
      </c>
      <c r="B13" s="27"/>
      <c r="C13" s="87">
        <f>IF('Korpus mebel'!C14="Kupe",1,0)</f>
        <v>1</v>
      </c>
      <c r="D13" s="87">
        <f>IF('Korpus mebel'!D14="Kupe",1,0)</f>
        <v>0</v>
      </c>
      <c r="E13" s="87">
        <f>IF('Korpus mebel'!E14="Kupe",1,0)</f>
        <v>0</v>
      </c>
      <c r="F13" s="87">
        <f>IF('Korpus mebel'!F14="Kupe",1,0)</f>
        <v>0</v>
      </c>
      <c r="G13" s="87">
        <f>IF('Korpus mebel'!G14="Kupe",1,0)</f>
        <v>0</v>
      </c>
      <c r="H13" s="87">
        <f>IF('Korpus mebel'!H14="Kupe",1,0)</f>
        <v>0</v>
      </c>
    </row>
    <row r="14" spans="1:13" x14ac:dyDescent="0.25">
      <c r="A14" s="25" t="s">
        <v>347</v>
      </c>
      <c r="B14" s="27" t="s">
        <v>48</v>
      </c>
      <c r="C14" s="40">
        <f>IF(N('Korpus mebel'!C13)&gt;0,'Korpus mebel'!C13,MAX(1,ROUND(C8/k_bolim_eni,0)))</f>
        <v>3</v>
      </c>
      <c r="D14" s="40">
        <f>IF(N('Korpus mebel'!D13)&gt;0,'Korpus mebel'!D13,MAX(1,ROUND(D8/k_bolim_eni,0)))</f>
        <v>2</v>
      </c>
      <c r="E14" s="40">
        <f>IF(N('Korpus mebel'!E13)&gt;0,'Korpus mebel'!E13,MAX(1,ROUND(E8/k_bolim_eni,0)))</f>
        <v>4</v>
      </c>
      <c r="F14" s="40">
        <f>IF(N('Korpus mebel'!F13)&gt;0,'Korpus mebel'!F13,MAX(1,ROUND(F8/k_bolim_eni,0)))</f>
        <v>1</v>
      </c>
      <c r="G14" s="40">
        <f>IF(N('Korpus mebel'!G13)&gt;0,'Korpus mebel'!G13,MAX(1,ROUND(G8/k_bolim_eni,0)))</f>
        <v>1</v>
      </c>
      <c r="H14" s="40">
        <f>IF(N('Korpus mebel'!H13)&gt;0,'Korpus mebel'!H13,MAX(1,ROUND(H8/k_bolim_eni,0)))</f>
        <v>1</v>
      </c>
    </row>
    <row r="15" spans="1:13" x14ac:dyDescent="0.25">
      <c r="A15" s="25" t="s">
        <v>53</v>
      </c>
      <c r="B15" s="27" t="s">
        <v>48</v>
      </c>
      <c r="C15" s="40">
        <f>IF(C12+C13=0,0,IF(N('Korpus mebel'!C15)&gt;0,'Korpus mebel'!C15,IF(C12=1,2*C14,MAX(2,ROUND(C8/k_kupe_eni,0)))))</f>
        <v>2</v>
      </c>
      <c r="D15" s="40">
        <f>IF(D12+D13=0,0,IF(N('Korpus mebel'!D15)&gt;0,'Korpus mebel'!D15,IF(D12=1,2*D14,MAX(2,ROUND(D8/k_kupe_eni,0)))))</f>
        <v>2</v>
      </c>
      <c r="E15" s="40">
        <f>IF(E12+E13=0,0,IF(N('Korpus mebel'!E15)&gt;0,'Korpus mebel'!E15,IF(E12=1,2*E14,MAX(2,ROUND(E8/k_kupe_eni,0)))))</f>
        <v>0</v>
      </c>
      <c r="F15" s="40">
        <f>IF(F12+F13=0,0,IF(N('Korpus mebel'!F15)&gt;0,'Korpus mebel'!F15,IF(F12=1,2*F14,MAX(2,ROUND(F8/k_kupe_eni,0)))))</f>
        <v>0</v>
      </c>
      <c r="G15" s="40">
        <f>IF(G12+G13=0,0,IF(N('Korpus mebel'!G15)&gt;0,'Korpus mebel'!G15,IF(G12=1,2*G14,MAX(2,ROUND(G8/k_kupe_eni,0)))))</f>
        <v>0</v>
      </c>
      <c r="H15" s="40">
        <f>IF(H12+H13=0,0,IF(N('Korpus mebel'!H15)&gt;0,'Korpus mebel'!H15,IF(H12=1,2*H14,MAX(2,ROUND(H8/k_kupe_eni,0)))))</f>
        <v>0</v>
      </c>
    </row>
    <row r="16" spans="1:13" x14ac:dyDescent="0.25">
      <c r="A16" s="25" t="s">
        <v>348</v>
      </c>
      <c r="B16" s="27" t="s">
        <v>48</v>
      </c>
      <c r="C16" s="40">
        <f>MIN(N('Korpus mebel'!C16),C15)</f>
        <v>1</v>
      </c>
      <c r="D16" s="40">
        <f>MIN(N('Korpus mebel'!D16),D15)</f>
        <v>1</v>
      </c>
      <c r="E16" s="40">
        <f>MIN(N('Korpus mebel'!E16),E15)</f>
        <v>0</v>
      </c>
      <c r="F16" s="40">
        <f>MIN(N('Korpus mebel'!F16),F15)</f>
        <v>0</v>
      </c>
      <c r="G16" s="40">
        <f>MIN(N('Korpus mebel'!G16),G15)</f>
        <v>0</v>
      </c>
      <c r="H16" s="40">
        <f>MIN(N('Korpus mebel'!H16),H15)</f>
        <v>0</v>
      </c>
    </row>
    <row r="17" spans="1:8" x14ac:dyDescent="0.25">
      <c r="A17" s="25" t="s">
        <v>349</v>
      </c>
      <c r="B17" s="27" t="s">
        <v>48</v>
      </c>
      <c r="C17" s="40">
        <f>N('Korpus mebel'!C17)</f>
        <v>6</v>
      </c>
      <c r="D17" s="40">
        <f>N('Korpus mebel'!D17)</f>
        <v>4</v>
      </c>
      <c r="E17" s="40">
        <f>N('Korpus mebel'!E17)</f>
        <v>10</v>
      </c>
      <c r="F17" s="40">
        <f>N('Korpus mebel'!F17)</f>
        <v>0</v>
      </c>
      <c r="G17" s="40">
        <f>N('Korpus mebel'!G17)</f>
        <v>0</v>
      </c>
      <c r="H17" s="40">
        <f>N('Korpus mebel'!H17)</f>
        <v>0</v>
      </c>
    </row>
    <row r="18" spans="1:8" x14ac:dyDescent="0.25">
      <c r="A18" s="25" t="s">
        <v>350</v>
      </c>
      <c r="B18" s="27" t="s">
        <v>48</v>
      </c>
      <c r="C18" s="40">
        <f>N('Korpus mebel'!C18)</f>
        <v>2</v>
      </c>
      <c r="D18" s="40">
        <f>N('Korpus mebel'!D18)</f>
        <v>0</v>
      </c>
      <c r="E18" s="40">
        <f>N('Korpus mebel'!E18)</f>
        <v>2</v>
      </c>
      <c r="F18" s="40">
        <f>N('Korpus mebel'!F18)</f>
        <v>0</v>
      </c>
      <c r="G18" s="40">
        <f>N('Korpus mebel'!G18)</f>
        <v>0</v>
      </c>
      <c r="H18" s="40">
        <f>N('Korpus mebel'!H18)</f>
        <v>0</v>
      </c>
    </row>
    <row r="19" spans="1:8" x14ac:dyDescent="0.25">
      <c r="A19" s="25" t="s">
        <v>351</v>
      </c>
      <c r="B19" s="27" t="s">
        <v>48</v>
      </c>
      <c r="C19" s="40">
        <f>N('Korpus mebel'!C19)</f>
        <v>1</v>
      </c>
      <c r="D19" s="40">
        <f>N('Korpus mebel'!D19)</f>
        <v>0</v>
      </c>
      <c r="E19" s="40">
        <f>N('Korpus mebel'!E19)</f>
        <v>2</v>
      </c>
      <c r="F19" s="40">
        <f>N('Korpus mebel'!F19)</f>
        <v>0</v>
      </c>
      <c r="G19" s="40">
        <f>N('Korpus mebel'!G19)</f>
        <v>0</v>
      </c>
      <c r="H19" s="40">
        <f>N('Korpus mebel'!H19)</f>
        <v>0</v>
      </c>
    </row>
    <row r="20" spans="1:8" x14ac:dyDescent="0.25">
      <c r="A20" s="25" t="s">
        <v>352</v>
      </c>
      <c r="B20" s="27" t="s">
        <v>48</v>
      </c>
      <c r="C20" s="40">
        <f>N('Korpus mebel'!C20)</f>
        <v>0</v>
      </c>
      <c r="D20" s="40">
        <f>N('Korpus mebel'!D20)</f>
        <v>6</v>
      </c>
      <c r="E20" s="40">
        <f>N('Korpus mebel'!E20)</f>
        <v>0</v>
      </c>
      <c r="F20" s="40">
        <f>N('Korpus mebel'!F20)</f>
        <v>0</v>
      </c>
      <c r="G20" s="40">
        <f>N('Korpus mebel'!G20)</f>
        <v>0</v>
      </c>
      <c r="H20" s="40">
        <f>N('Korpus mebel'!H20)</f>
        <v>0</v>
      </c>
    </row>
    <row r="21" spans="1:8" x14ac:dyDescent="0.25">
      <c r="A21" s="25" t="s">
        <v>353</v>
      </c>
      <c r="B21" s="27"/>
      <c r="C21" s="87">
        <f>IF('Korpus mebel'!C21="Yo'q",0,1)</f>
        <v>1</v>
      </c>
      <c r="D21" s="87">
        <f>IF('Korpus mebel'!D21="Yo'q",0,1)</f>
        <v>1</v>
      </c>
      <c r="E21" s="87">
        <f>IF('Korpus mebel'!E21="Yo'q",0,1)</f>
        <v>0</v>
      </c>
      <c r="F21" s="87">
        <f>IF('Korpus mebel'!F21="Yo'q",0,1)</f>
        <v>1</v>
      </c>
      <c r="G21" s="87">
        <f>IF('Korpus mebel'!G21="Yo'q",0,1)</f>
        <v>1</v>
      </c>
      <c r="H21" s="87">
        <f>IF('Korpus mebel'!H21="Yo'q",0,1)</f>
        <v>1</v>
      </c>
    </row>
    <row r="22" spans="1:8" x14ac:dyDescent="0.25">
      <c r="A22" s="25" t="s">
        <v>354</v>
      </c>
      <c r="B22" s="27"/>
      <c r="C22" s="87">
        <f>IF('Korpus mebel'!C22="Krasheniy",1,0)</f>
        <v>0</v>
      </c>
      <c r="D22" s="87">
        <f>IF('Korpus mebel'!D22="Krasheniy",1,0)</f>
        <v>0</v>
      </c>
      <c r="E22" s="87">
        <f>IF('Korpus mebel'!E22="Krasheniy",1,0)</f>
        <v>0</v>
      </c>
      <c r="F22" s="87">
        <f>IF('Korpus mebel'!F22="Krasheniy",1,0)</f>
        <v>0</v>
      </c>
      <c r="G22" s="87">
        <f>IF('Korpus mebel'!G22="Krasheniy",1,0)</f>
        <v>0</v>
      </c>
      <c r="H22" s="87">
        <f>IF('Korpus mebel'!H22="Krasheniy",1,0)</f>
        <v>0</v>
      </c>
    </row>
    <row r="23" spans="1:8" x14ac:dyDescent="0.25">
      <c r="A23" s="25" t="s">
        <v>355</v>
      </c>
      <c r="B23" s="27"/>
      <c r="C23" s="87">
        <f>IF('Korpus mebel'!C23="Krasheniy",1,0)</f>
        <v>0</v>
      </c>
      <c r="D23" s="87">
        <f>IF('Korpus mebel'!D23="Krasheniy",1,0)</f>
        <v>0</v>
      </c>
      <c r="E23" s="87">
        <f>IF('Korpus mebel'!E23="Krasheniy",1,0)</f>
        <v>0</v>
      </c>
      <c r="F23" s="87">
        <f>IF('Korpus mebel'!F23="Krasheniy",1,0)</f>
        <v>0</v>
      </c>
      <c r="G23" s="87">
        <f>IF('Korpus mebel'!G23="Krasheniy",1,0)</f>
        <v>0</v>
      </c>
      <c r="H23" s="87">
        <f>IF('Korpus mebel'!H23="Krasheniy",1,0)</f>
        <v>0</v>
      </c>
    </row>
    <row r="24" spans="1:8" x14ac:dyDescent="0.25">
      <c r="A24" s="25" t="s">
        <v>356</v>
      </c>
      <c r="B24" s="27"/>
      <c r="C24" s="87">
        <f t="shared" ref="C24:H24" si="1">MAX(C22,C23)</f>
        <v>0</v>
      </c>
      <c r="D24" s="87">
        <f t="shared" si="1"/>
        <v>0</v>
      </c>
      <c r="E24" s="87">
        <f t="shared" si="1"/>
        <v>0</v>
      </c>
      <c r="F24" s="87">
        <f t="shared" si="1"/>
        <v>0</v>
      </c>
      <c r="G24" s="87">
        <f t="shared" si="1"/>
        <v>0</v>
      </c>
      <c r="H24" s="87">
        <f t="shared" si="1"/>
        <v>0</v>
      </c>
    </row>
    <row r="26" spans="1:8" ht="15.75" x14ac:dyDescent="0.25">
      <c r="A26" s="17" t="s">
        <v>357</v>
      </c>
    </row>
    <row r="27" spans="1:8" x14ac:dyDescent="0.25">
      <c r="A27" s="25" t="s">
        <v>358</v>
      </c>
      <c r="B27" s="27" t="s">
        <v>343</v>
      </c>
      <c r="C27" s="40">
        <f t="shared" ref="C27:H27" si="2">MAX(0,C10-IF(C13=1,k_kupe_zazor,IF(C12=1,qal,0)))</f>
        <v>500</v>
      </c>
      <c r="D27" s="40">
        <f t="shared" si="2"/>
        <v>384</v>
      </c>
      <c r="E27" s="40">
        <f t="shared" si="2"/>
        <v>500</v>
      </c>
      <c r="F27" s="40">
        <f t="shared" si="2"/>
        <v>0</v>
      </c>
      <c r="G27" s="40">
        <f t="shared" si="2"/>
        <v>0</v>
      </c>
      <c r="H27" s="40">
        <f t="shared" si="2"/>
        <v>0</v>
      </c>
    </row>
    <row r="28" spans="1:8" x14ac:dyDescent="0.25">
      <c r="A28" s="25" t="s">
        <v>359</v>
      </c>
      <c r="B28" s="27" t="s">
        <v>343</v>
      </c>
      <c r="C28" s="40">
        <f t="shared" ref="C28:H28" si="3">MAX(0,(C8-(C14+1)*qal)/C14)</f>
        <v>645.33333333333337</v>
      </c>
      <c r="D28" s="40">
        <f t="shared" si="3"/>
        <v>576</v>
      </c>
      <c r="E28" s="40">
        <f t="shared" si="3"/>
        <v>730</v>
      </c>
      <c r="F28" s="40">
        <f t="shared" si="3"/>
        <v>0</v>
      </c>
      <c r="G28" s="40">
        <f t="shared" si="3"/>
        <v>0</v>
      </c>
      <c r="H28" s="40">
        <f t="shared" si="3"/>
        <v>0</v>
      </c>
    </row>
    <row r="29" spans="1:8" x14ac:dyDescent="0.25">
      <c r="A29" s="25" t="s">
        <v>360</v>
      </c>
      <c r="B29" s="27" t="s">
        <v>343</v>
      </c>
      <c r="C29" s="40">
        <f t="shared" ref="C29:H29" si="4">MAX(0,C9-2*qal-tsokol)</f>
        <v>2288</v>
      </c>
      <c r="D29" s="40">
        <f t="shared" si="4"/>
        <v>2088</v>
      </c>
      <c r="E29" s="40">
        <f t="shared" si="4"/>
        <v>2388</v>
      </c>
      <c r="F29" s="40">
        <f t="shared" si="4"/>
        <v>0</v>
      </c>
      <c r="G29" s="40">
        <f t="shared" si="4"/>
        <v>0</v>
      </c>
      <c r="H29" s="40">
        <f t="shared" si="4"/>
        <v>0</v>
      </c>
    </row>
    <row r="30" spans="1:8" x14ac:dyDescent="0.25">
      <c r="A30" s="25" t="s">
        <v>361</v>
      </c>
      <c r="B30" s="27" t="s">
        <v>343</v>
      </c>
      <c r="C30" s="40">
        <f t="shared" ref="C30:H30" si="5">IF(C15=0,0,IF(C13=1,(C8+k_kupe_ustma*(C15-1))/C15,C8/C15-tir))</f>
        <v>1015</v>
      </c>
      <c r="D30" s="40">
        <f t="shared" si="5"/>
        <v>597</v>
      </c>
      <c r="E30" s="40">
        <f t="shared" si="5"/>
        <v>0</v>
      </c>
      <c r="F30" s="40">
        <f t="shared" si="5"/>
        <v>0</v>
      </c>
      <c r="G30" s="40">
        <f t="shared" si="5"/>
        <v>0</v>
      </c>
      <c r="H30" s="40">
        <f t="shared" si="5"/>
        <v>0</v>
      </c>
    </row>
    <row r="31" spans="1:8" x14ac:dyDescent="0.25">
      <c r="A31" s="25" t="s">
        <v>362</v>
      </c>
      <c r="B31" s="27" t="s">
        <v>343</v>
      </c>
      <c r="C31" s="40">
        <f t="shared" ref="C31:H31" si="6">IF(C15=0,0,IF(C13=1,C9-k_kupe_H,C9-tsokol-tir))</f>
        <v>2360</v>
      </c>
      <c r="D31" s="40">
        <f t="shared" si="6"/>
        <v>2117</v>
      </c>
      <c r="E31" s="40">
        <f t="shared" si="6"/>
        <v>0</v>
      </c>
      <c r="F31" s="40">
        <f t="shared" si="6"/>
        <v>0</v>
      </c>
      <c r="G31" s="40">
        <f t="shared" si="6"/>
        <v>0</v>
      </c>
      <c r="H31" s="40">
        <f t="shared" si="6"/>
        <v>0</v>
      </c>
    </row>
    <row r="32" spans="1:8" x14ac:dyDescent="0.25">
      <c r="A32" s="25" t="s">
        <v>363</v>
      </c>
      <c r="B32" s="27" t="s">
        <v>48</v>
      </c>
      <c r="C32" s="40">
        <f t="shared" ref="C32:H32" si="7">IF(C31&gt;2000,5,IF(C31&gt;1600,4,IF(C31&gt;900,3,2)))</f>
        <v>5</v>
      </c>
      <c r="D32" s="40">
        <f t="shared" si="7"/>
        <v>5</v>
      </c>
      <c r="E32" s="40">
        <f t="shared" si="7"/>
        <v>2</v>
      </c>
      <c r="F32" s="40">
        <f t="shared" si="7"/>
        <v>2</v>
      </c>
      <c r="G32" s="40">
        <f t="shared" si="7"/>
        <v>2</v>
      </c>
      <c r="H32" s="40">
        <f t="shared" si="7"/>
        <v>2</v>
      </c>
    </row>
    <row r="33" spans="1:8" x14ac:dyDescent="0.25">
      <c r="A33" s="25" t="s">
        <v>364</v>
      </c>
      <c r="B33" s="27" t="s">
        <v>343</v>
      </c>
      <c r="C33" s="40">
        <f t="shared" ref="C33:H33" si="8">FLOOR(MAX(0,C27-zazor_chuq),50)</f>
        <v>450</v>
      </c>
      <c r="D33" s="40">
        <f t="shared" si="8"/>
        <v>350</v>
      </c>
      <c r="E33" s="40">
        <f t="shared" si="8"/>
        <v>450</v>
      </c>
      <c r="F33" s="40">
        <f t="shared" si="8"/>
        <v>0</v>
      </c>
      <c r="G33" s="40">
        <f t="shared" si="8"/>
        <v>0</v>
      </c>
      <c r="H33" s="40">
        <f t="shared" si="8"/>
        <v>0</v>
      </c>
    </row>
    <row r="34" spans="1:8" x14ac:dyDescent="0.25">
      <c r="A34" s="25" t="s">
        <v>365</v>
      </c>
      <c r="B34" s="27" t="s">
        <v>48</v>
      </c>
      <c r="C34" s="40">
        <f t="shared" ref="C34:H34" si="9">IF(C13=1,C15-C16,C15)</f>
        <v>1</v>
      </c>
      <c r="D34" s="40">
        <f t="shared" si="9"/>
        <v>2</v>
      </c>
      <c r="E34" s="40">
        <f t="shared" si="9"/>
        <v>0</v>
      </c>
      <c r="F34" s="40">
        <f t="shared" si="9"/>
        <v>0</v>
      </c>
      <c r="G34" s="40">
        <f t="shared" si="9"/>
        <v>0</v>
      </c>
      <c r="H34" s="40">
        <f t="shared" si="9"/>
        <v>0</v>
      </c>
    </row>
    <row r="36" spans="1:8" ht="15.75" x14ac:dyDescent="0.25">
      <c r="A36" s="17" t="s">
        <v>366</v>
      </c>
    </row>
    <row r="37" spans="1:8" x14ac:dyDescent="0.25">
      <c r="A37" s="25" t="s">
        <v>367</v>
      </c>
      <c r="B37" s="27" t="s">
        <v>152</v>
      </c>
      <c r="C37" s="42">
        <f t="shared" ref="C37:H37" si="10">2*C9*C27/1000000</f>
        <v>2.4</v>
      </c>
      <c r="D37" s="42">
        <f t="shared" si="10"/>
        <v>1.6896</v>
      </c>
      <c r="E37" s="42">
        <f t="shared" si="10"/>
        <v>2.5</v>
      </c>
      <c r="F37" s="42">
        <f t="shared" si="10"/>
        <v>0</v>
      </c>
      <c r="G37" s="42">
        <f t="shared" si="10"/>
        <v>0</v>
      </c>
      <c r="H37" s="42">
        <f t="shared" si="10"/>
        <v>0</v>
      </c>
    </row>
    <row r="38" spans="1:8" x14ac:dyDescent="0.25">
      <c r="A38" s="25" t="s">
        <v>368</v>
      </c>
      <c r="B38" s="27" t="s">
        <v>152</v>
      </c>
      <c r="C38" s="42">
        <f t="shared" ref="C38:H38" si="11">2*MAX(0,C8-2*qal)*C27/1000000</f>
        <v>1.968</v>
      </c>
      <c r="D38" s="42">
        <f t="shared" si="11"/>
        <v>0.89702400000000004</v>
      </c>
      <c r="E38" s="42">
        <f t="shared" si="11"/>
        <v>2.968</v>
      </c>
      <c r="F38" s="42">
        <f t="shared" si="11"/>
        <v>0</v>
      </c>
      <c r="G38" s="42">
        <f t="shared" si="11"/>
        <v>0</v>
      </c>
      <c r="H38" s="42">
        <f t="shared" si="11"/>
        <v>0</v>
      </c>
    </row>
    <row r="39" spans="1:8" x14ac:dyDescent="0.25">
      <c r="A39" s="25" t="s">
        <v>369</v>
      </c>
      <c r="B39" s="27" t="s">
        <v>152</v>
      </c>
      <c r="C39" s="42">
        <f t="shared" ref="C39:H39" si="12">MAX(0,C8-2*qal)*tsokol/1000000</f>
        <v>0.15744</v>
      </c>
      <c r="D39" s="42">
        <f t="shared" si="12"/>
        <v>9.3439999999999995E-2</v>
      </c>
      <c r="E39" s="42">
        <f t="shared" si="12"/>
        <v>0.23744000000000001</v>
      </c>
      <c r="F39" s="42">
        <f t="shared" si="12"/>
        <v>0</v>
      </c>
      <c r="G39" s="42">
        <f t="shared" si="12"/>
        <v>0</v>
      </c>
      <c r="H39" s="42">
        <f t="shared" si="12"/>
        <v>0</v>
      </c>
    </row>
    <row r="40" spans="1:8" x14ac:dyDescent="0.25">
      <c r="A40" s="25" t="s">
        <v>370</v>
      </c>
      <c r="B40" s="27" t="s">
        <v>152</v>
      </c>
      <c r="C40" s="42">
        <f t="shared" ref="C40:H40" si="13">(C14-1)*C29*C27/1000000</f>
        <v>2.2879999999999998</v>
      </c>
      <c r="D40" s="42">
        <f t="shared" si="13"/>
        <v>0.80179199999999995</v>
      </c>
      <c r="E40" s="42">
        <f t="shared" si="13"/>
        <v>3.5819999999999999</v>
      </c>
      <c r="F40" s="42">
        <f t="shared" si="13"/>
        <v>0</v>
      </c>
      <c r="G40" s="42">
        <f t="shared" si="13"/>
        <v>0</v>
      </c>
      <c r="H40" s="42">
        <f t="shared" si="13"/>
        <v>0</v>
      </c>
    </row>
    <row r="41" spans="1:8" x14ac:dyDescent="0.25">
      <c r="A41" s="25" t="s">
        <v>349</v>
      </c>
      <c r="B41" s="27" t="s">
        <v>152</v>
      </c>
      <c r="C41" s="42">
        <f t="shared" ref="C41:H41" si="14">C17*MAX(0,C28-2)*MAX(0,C27-zazor_polka)/1000000</f>
        <v>1.8528</v>
      </c>
      <c r="D41" s="42">
        <f t="shared" si="14"/>
        <v>0.83574400000000004</v>
      </c>
      <c r="E41" s="42">
        <f t="shared" si="14"/>
        <v>3.4944000000000002</v>
      </c>
      <c r="F41" s="42">
        <f t="shared" si="14"/>
        <v>0</v>
      </c>
      <c r="G41" s="42">
        <f t="shared" si="14"/>
        <v>0</v>
      </c>
      <c r="H41" s="42">
        <f t="shared" si="14"/>
        <v>0</v>
      </c>
    </row>
    <row r="42" spans="1:8" x14ac:dyDescent="0.25">
      <c r="A42" s="25" t="s">
        <v>371</v>
      </c>
      <c r="B42" s="27" t="s">
        <v>152</v>
      </c>
      <c r="C42" s="42">
        <f t="shared" ref="C42:H42" si="15">C18*(2*C33+2*MAX(0,C28-zazor_nap-2*qal))*k_yashik_quti/1000000</f>
        <v>0.62240000000000006</v>
      </c>
      <c r="D42" s="42">
        <f t="shared" si="15"/>
        <v>0</v>
      </c>
      <c r="E42" s="42">
        <f t="shared" si="15"/>
        <v>0.67320000000000002</v>
      </c>
      <c r="F42" s="42">
        <f t="shared" si="15"/>
        <v>0</v>
      </c>
      <c r="G42" s="42">
        <f t="shared" si="15"/>
        <v>0</v>
      </c>
      <c r="H42" s="42">
        <f t="shared" si="15"/>
        <v>0</v>
      </c>
    </row>
    <row r="43" spans="1:8" x14ac:dyDescent="0.25">
      <c r="A43" s="25" t="s">
        <v>372</v>
      </c>
      <c r="B43" s="27" t="s">
        <v>152</v>
      </c>
      <c r="C43" s="42">
        <f t="shared" ref="C43:H43" si="16">C34*C30*C31/1000000</f>
        <v>2.3954</v>
      </c>
      <c r="D43" s="42">
        <f t="shared" si="16"/>
        <v>2.527698</v>
      </c>
      <c r="E43" s="42">
        <f t="shared" si="16"/>
        <v>0</v>
      </c>
      <c r="F43" s="42">
        <f t="shared" si="16"/>
        <v>0</v>
      </c>
      <c r="G43" s="42">
        <f t="shared" si="16"/>
        <v>0</v>
      </c>
      <c r="H43" s="42">
        <f t="shared" si="16"/>
        <v>0</v>
      </c>
    </row>
    <row r="44" spans="1:8" x14ac:dyDescent="0.25">
      <c r="A44" s="25" t="s">
        <v>373</v>
      </c>
      <c r="B44" s="27" t="s">
        <v>152</v>
      </c>
      <c r="C44" s="42">
        <f t="shared" ref="C44:H44" si="17">C18*MAX(0,C28-tir)*k_yashik_fas/1000000</f>
        <v>0.25693333333333335</v>
      </c>
      <c r="D44" s="42">
        <f t="shared" si="17"/>
        <v>0</v>
      </c>
      <c r="E44" s="42">
        <f t="shared" si="17"/>
        <v>0.2908</v>
      </c>
      <c r="F44" s="42">
        <f t="shared" si="17"/>
        <v>0</v>
      </c>
      <c r="G44" s="42">
        <f t="shared" si="17"/>
        <v>0</v>
      </c>
      <c r="H44" s="42">
        <f t="shared" si="17"/>
        <v>0</v>
      </c>
    </row>
    <row r="45" spans="1:8" x14ac:dyDescent="0.25">
      <c r="A45" s="25" t="s">
        <v>374</v>
      </c>
      <c r="B45" s="27" t="s">
        <v>152</v>
      </c>
      <c r="C45" s="42">
        <f t="shared" ref="C45:H45" si="18">C43+C39+C44</f>
        <v>2.8097733333333332</v>
      </c>
      <c r="D45" s="42">
        <f t="shared" si="18"/>
        <v>2.6211380000000002</v>
      </c>
      <c r="E45" s="42">
        <f t="shared" si="18"/>
        <v>0.52824000000000004</v>
      </c>
      <c r="F45" s="42">
        <f t="shared" si="18"/>
        <v>0</v>
      </c>
      <c r="G45" s="42">
        <f t="shared" si="18"/>
        <v>0</v>
      </c>
      <c r="H45" s="42">
        <f t="shared" si="18"/>
        <v>0</v>
      </c>
    </row>
    <row r="46" spans="1:8" x14ac:dyDescent="0.25">
      <c r="A46" s="25" t="s">
        <v>375</v>
      </c>
      <c r="B46" s="27" t="s">
        <v>152</v>
      </c>
      <c r="C46" s="42">
        <f t="shared" ref="C46:H46" si="19">C38+C40+C41+C42</f>
        <v>6.7312000000000003</v>
      </c>
      <c r="D46" s="42">
        <f t="shared" si="19"/>
        <v>2.5345599999999999</v>
      </c>
      <c r="E46" s="42">
        <f t="shared" si="19"/>
        <v>10.717599999999999</v>
      </c>
      <c r="F46" s="42">
        <f t="shared" si="19"/>
        <v>0</v>
      </c>
      <c r="G46" s="42">
        <f t="shared" si="19"/>
        <v>0</v>
      </c>
      <c r="H46" s="42">
        <f t="shared" si="19"/>
        <v>0</v>
      </c>
    </row>
    <row r="47" spans="1:8" x14ac:dyDescent="0.25">
      <c r="A47" s="25" t="s">
        <v>376</v>
      </c>
      <c r="B47" s="27" t="s">
        <v>210</v>
      </c>
      <c r="C47" s="42">
        <f t="shared" ref="C47:H47" si="20">(C34*2*(C30+C31)+C18*2*(MAX(0,C28-tir)+k_yashik_fas)+2*(MAX(0,C8-2*qal)+tsokol))/1000</f>
        <v>14.215333333333334</v>
      </c>
      <c r="D47" s="42">
        <f t="shared" si="20"/>
        <v>13.352</v>
      </c>
      <c r="E47" s="42">
        <f t="shared" si="20"/>
        <v>9.8040000000000003</v>
      </c>
      <c r="F47" s="42">
        <f t="shared" si="20"/>
        <v>0.16</v>
      </c>
      <c r="G47" s="42">
        <f t="shared" si="20"/>
        <v>0.16</v>
      </c>
      <c r="H47" s="42">
        <f t="shared" si="20"/>
        <v>0.16</v>
      </c>
    </row>
    <row r="48" spans="1:8" x14ac:dyDescent="0.25">
      <c r="A48" s="25" t="s">
        <v>377</v>
      </c>
      <c r="B48" s="27" t="s">
        <v>210</v>
      </c>
      <c r="C48" s="42">
        <f t="shared" ref="C48:H48" si="21">2*(C9+C27)/1000</f>
        <v>5.8</v>
      </c>
      <c r="D48" s="42">
        <f t="shared" si="21"/>
        <v>5.1680000000000001</v>
      </c>
      <c r="E48" s="42">
        <f t="shared" si="21"/>
        <v>6</v>
      </c>
      <c r="F48" s="42">
        <f t="shared" si="21"/>
        <v>0</v>
      </c>
      <c r="G48" s="42">
        <f t="shared" si="21"/>
        <v>0</v>
      </c>
      <c r="H48" s="42">
        <f t="shared" si="21"/>
        <v>0</v>
      </c>
    </row>
    <row r="49" spans="1:13" x14ac:dyDescent="0.25">
      <c r="A49" s="25" t="s">
        <v>378</v>
      </c>
      <c r="B49" s="27" t="s">
        <v>152</v>
      </c>
      <c r="C49" s="42">
        <f t="shared" ref="C49:H49" si="22">C11*(C22*(C45*fasad_tomon+C47*qal/1000)+C23*(C37*korpus_tomon+2*C48*qal/1000))</f>
        <v>0</v>
      </c>
      <c r="D49" s="42">
        <f t="shared" si="22"/>
        <v>0</v>
      </c>
      <c r="E49" s="42">
        <f t="shared" si="22"/>
        <v>0</v>
      </c>
      <c r="F49" s="42">
        <f t="shared" si="22"/>
        <v>0</v>
      </c>
      <c r="G49" s="42">
        <f t="shared" si="22"/>
        <v>0</v>
      </c>
      <c r="H49" s="42">
        <f t="shared" si="22"/>
        <v>0</v>
      </c>
    </row>
    <row r="51" spans="1:13" ht="15.75" x14ac:dyDescent="0.25">
      <c r="A51" s="17" t="s">
        <v>379</v>
      </c>
    </row>
    <row r="52" spans="1:13" x14ac:dyDescent="0.25">
      <c r="A52" s="25" t="s">
        <v>198</v>
      </c>
      <c r="B52" s="27" t="s">
        <v>199</v>
      </c>
      <c r="C52" s="42">
        <f t="shared" ref="C52:H52" si="23">C11*(C46+(1-C23)*C37+(1-C22)*C45)/(ldsp_L*ldsp_W/1000000)</f>
        <v>2.0602093397745569</v>
      </c>
      <c r="D52" s="42">
        <f t="shared" si="23"/>
        <v>1.1810383022774327</v>
      </c>
      <c r="E52" s="42">
        <f t="shared" si="23"/>
        <v>2.3716080055210487</v>
      </c>
      <c r="F52" s="42">
        <f t="shared" si="23"/>
        <v>0</v>
      </c>
      <c r="G52" s="42">
        <f t="shared" si="23"/>
        <v>0</v>
      </c>
      <c r="H52" s="42">
        <f t="shared" si="23"/>
        <v>0</v>
      </c>
      <c r="I52" s="69">
        <f>C52*C7+D52*D7+E52*E7+F52*F7+G52*G7+H52*H7</f>
        <v>5.6128556475730385</v>
      </c>
      <c r="J52" s="77">
        <f>IFERROR(INDEX('Laminat xom ashyo'!$S$5:$S$49,MATCH($A52,'Laminat xom ashyo'!$C$5:$C$49,0)),0)</f>
        <v>400000</v>
      </c>
      <c r="K52" s="82">
        <f>IFERROR(INDEX('Laminat xom ashyo'!$O$5:$O$49,MATCH($A52,'Laminat xom ashyo'!$C$5:$C$49,0)),0)</f>
        <v>0.15</v>
      </c>
      <c r="L52" s="77">
        <f>IFERROR(INDEX('Krasheniy xom ashyo'!$O$5:$O$35,MATCH($A52,'Krasheniy xom ashyo'!$C$5:$C$35,0)),J52)</f>
        <v>400000</v>
      </c>
      <c r="M52" s="82">
        <f>IFERROR(INDEX('Krasheniy xom ashyo'!$K$5:$K$35,MATCH($A52,'Krasheniy xom ashyo'!$C$5:$C$35,0)),K52)</f>
        <v>0.15</v>
      </c>
    </row>
    <row r="53" spans="1:13" x14ac:dyDescent="0.25">
      <c r="A53" s="25" t="s">
        <v>277</v>
      </c>
      <c r="B53" s="27" t="s">
        <v>199</v>
      </c>
      <c r="C53" s="42">
        <f t="shared" ref="C53:H53" si="24">C11*(C23*C37+C22*C45)/(mdf_L*mdf_W/1000000)</f>
        <v>0</v>
      </c>
      <c r="D53" s="42">
        <f t="shared" si="24"/>
        <v>0</v>
      </c>
      <c r="E53" s="42">
        <f t="shared" si="24"/>
        <v>0</v>
      </c>
      <c r="F53" s="42">
        <f t="shared" si="24"/>
        <v>0</v>
      </c>
      <c r="G53" s="42">
        <f t="shared" si="24"/>
        <v>0</v>
      </c>
      <c r="H53" s="42">
        <f t="shared" si="24"/>
        <v>0</v>
      </c>
      <c r="I53" s="69">
        <f>C53*C7+D53*D7+E53*E7+F53*F7+G53*G7+H53*H7</f>
        <v>0</v>
      </c>
      <c r="J53" s="77">
        <f>IFERROR(INDEX('Laminat xom ashyo'!$S$5:$S$49,MATCH($A53,'Laminat xom ashyo'!$C$5:$C$49,0)),0)</f>
        <v>0</v>
      </c>
      <c r="K53" s="82">
        <f>IFERROR(INDEX('Laminat xom ashyo'!$O$5:$O$49,MATCH($A53,'Laminat xom ashyo'!$C$5:$C$49,0)),0)</f>
        <v>0</v>
      </c>
      <c r="L53" s="77">
        <f>IFERROR(INDEX('Krasheniy xom ashyo'!$O$5:$O$35,MATCH($A53,'Krasheniy xom ashyo'!$C$5:$C$35,0)),J53)</f>
        <v>0</v>
      </c>
      <c r="M53" s="82">
        <f>IFERROR(INDEX('Krasheniy xom ashyo'!$K$5:$K$35,MATCH($A53,'Krasheniy xom ashyo'!$C$5:$C$35,0)),K53)</f>
        <v>0.15</v>
      </c>
    </row>
    <row r="54" spans="1:13" x14ac:dyDescent="0.25">
      <c r="A54" s="25" t="s">
        <v>206</v>
      </c>
      <c r="B54" s="27" t="s">
        <v>199</v>
      </c>
      <c r="C54" s="42">
        <f t="shared" ref="C54:H54" si="25">C11*(C21*MAX(0,C8-zazor_dvp)*MAX(0,C9-zazor_dvp)+C18*MAX(0,C28-zazor_nap)*C33)/1000000/(dvp_L*dvp_W/1000000)</f>
        <v>1.1442871531126111</v>
      </c>
      <c r="D54" s="42">
        <f t="shared" si="25"/>
        <v>0.56282352941176461</v>
      </c>
      <c r="E54" s="42">
        <f t="shared" si="25"/>
        <v>0.13577627772420445</v>
      </c>
      <c r="F54" s="42">
        <f t="shared" si="25"/>
        <v>0</v>
      </c>
      <c r="G54" s="42">
        <f t="shared" si="25"/>
        <v>0</v>
      </c>
      <c r="H54" s="42">
        <f t="shared" si="25"/>
        <v>0</v>
      </c>
      <c r="I54" s="69">
        <f>C54*C7+D54*D7+E54*E7+F54*F7+G54*G7+H54*H7</f>
        <v>1.8428869602485802</v>
      </c>
      <c r="J54" s="77">
        <f>IFERROR(INDEX('Laminat xom ashyo'!$S$5:$S$49,MATCH($A54,'Laminat xom ashyo'!$C$5:$C$49,0)),0)</f>
        <v>190000</v>
      </c>
      <c r="K54" s="82">
        <f>IFERROR(INDEX('Laminat xom ashyo'!$O$5:$O$49,MATCH($A54,'Laminat xom ashyo'!$C$5:$C$49,0)),0)</f>
        <v>0.15</v>
      </c>
      <c r="L54" s="77">
        <f>IFERROR(INDEX('Krasheniy xom ashyo'!$O$5:$O$35,MATCH($A54,'Krasheniy xom ashyo'!$C$5:$C$35,0)),J54)</f>
        <v>190000</v>
      </c>
      <c r="M54" s="82">
        <f>IFERROR(INDEX('Krasheniy xom ashyo'!$K$5:$K$35,MATCH($A54,'Krasheniy xom ashyo'!$C$5:$C$35,0)),K54)</f>
        <v>0.15</v>
      </c>
    </row>
    <row r="55" spans="1:13" x14ac:dyDescent="0.25">
      <c r="A55" s="25" t="s">
        <v>207</v>
      </c>
      <c r="B55" s="27" t="s">
        <v>152</v>
      </c>
      <c r="C55" s="42">
        <f t="shared" ref="C55:H55" si="26">C11*C16*IF(C13=1,C30*C31,MAX(0,C30-2*k_oyna_chet)*MAX(0,C31-2*k_oyna_chet))/1000000</f>
        <v>2.3954</v>
      </c>
      <c r="D55" s="42">
        <f t="shared" si="26"/>
        <v>1.0024489999999999</v>
      </c>
      <c r="E55" s="42">
        <f t="shared" si="26"/>
        <v>0</v>
      </c>
      <c r="F55" s="42">
        <f t="shared" si="26"/>
        <v>0</v>
      </c>
      <c r="G55" s="42">
        <f t="shared" si="26"/>
        <v>0</v>
      </c>
      <c r="H55" s="42">
        <f t="shared" si="26"/>
        <v>0</v>
      </c>
      <c r="I55" s="69">
        <f>C55*C7+D55*D7+E55*E7+F55*F7+G55*G7+H55*H7</f>
        <v>3.3978489999999999</v>
      </c>
      <c r="J55" s="77">
        <f>IFERROR(INDEX('Laminat xom ashyo'!$S$5:$S$49,MATCH($A55,'Laminat xom ashyo'!$C$5:$C$49,0)),0)</f>
        <v>140000</v>
      </c>
      <c r="K55" s="82">
        <f>IFERROR(INDEX('Laminat xom ashyo'!$O$5:$O$49,MATCH($A55,'Laminat xom ashyo'!$C$5:$C$49,0)),0)</f>
        <v>0</v>
      </c>
      <c r="L55" s="77">
        <f>IFERROR(INDEX('Krasheniy xom ashyo'!$O$5:$O$35,MATCH($A55,'Krasheniy xom ashyo'!$C$5:$C$35,0)),J55)</f>
        <v>140000</v>
      </c>
      <c r="M55" s="82">
        <f>IFERROR(INDEX('Krasheniy xom ashyo'!$K$5:$K$35,MATCH($A55,'Krasheniy xom ashyo'!$C$5:$C$35,0)),K55)</f>
        <v>0</v>
      </c>
    </row>
    <row r="56" spans="1:13" x14ac:dyDescent="0.25">
      <c r="A56" s="25" t="s">
        <v>209</v>
      </c>
      <c r="B56" s="27" t="s">
        <v>210</v>
      </c>
      <c r="C56" s="42">
        <f t="shared" ref="C56:H56" si="27">C11*(1-C22)*(C12*C15*2*(C30+C31)+C18*2*(MAX(0,C28-tir)+k_yashik_fas))/1000</f>
        <v>3.3693333333333335</v>
      </c>
      <c r="D56" s="42">
        <f t="shared" si="27"/>
        <v>10.856</v>
      </c>
      <c r="E56" s="42">
        <f t="shared" si="27"/>
        <v>3.7080000000000002</v>
      </c>
      <c r="F56" s="42">
        <f t="shared" si="27"/>
        <v>0</v>
      </c>
      <c r="G56" s="42">
        <f t="shared" si="27"/>
        <v>0</v>
      </c>
      <c r="H56" s="42">
        <f t="shared" si="27"/>
        <v>0</v>
      </c>
      <c r="I56" s="69">
        <f>C56*C7+D56*D7+E56*E7+F56*F7+G56*G7+H56*H7</f>
        <v>17.933333333333334</v>
      </c>
      <c r="J56" s="77">
        <f>IFERROR(INDEX('Laminat xom ashyo'!$S$5:$S$49,MATCH($A56,'Laminat xom ashyo'!$C$5:$C$49,0)),0)</f>
        <v>4000</v>
      </c>
      <c r="K56" s="82">
        <f>IFERROR(INDEX('Laminat xom ashyo'!$O$5:$O$49,MATCH($A56,'Laminat xom ashyo'!$C$5:$C$49,0)),0)</f>
        <v>0.1</v>
      </c>
      <c r="L56" s="77">
        <f>IFERROR(INDEX('Krasheniy xom ashyo'!$O$5:$O$35,MATCH($A56,'Krasheniy xom ashyo'!$C$5:$C$35,0)),J56)</f>
        <v>4000</v>
      </c>
      <c r="M56" s="82">
        <f>IFERROR(INDEX('Krasheniy xom ashyo'!$K$5:$K$35,MATCH($A56,'Krasheniy xom ashyo'!$C$5:$C$35,0)),K56)</f>
        <v>0.1</v>
      </c>
    </row>
    <row r="57" spans="1:13" x14ac:dyDescent="0.25">
      <c r="A57" s="25" t="s">
        <v>212</v>
      </c>
      <c r="B57" s="27" t="s">
        <v>210</v>
      </c>
      <c r="C57" s="42">
        <f t="shared" ref="C57:H57" si="28">C11*((1-C23)*C48+((1-C22)+2)*MAX(0,C8-2*qal)/1000+(C14-1)*C29/1000+C17*MAX(0,C28-2)/1000+C18*(2*C33+2*MAX(0,C28-zazor_nap-2*qal))/1000)</f>
        <v>24.289333333333335</v>
      </c>
      <c r="D57" s="42">
        <f t="shared" si="28"/>
        <v>13.056000000000001</v>
      </c>
      <c r="E57" s="42">
        <f t="shared" si="28"/>
        <v>33.835999999999999</v>
      </c>
      <c r="F57" s="42">
        <f t="shared" si="28"/>
        <v>0</v>
      </c>
      <c r="G57" s="42">
        <f t="shared" si="28"/>
        <v>0</v>
      </c>
      <c r="H57" s="42">
        <f t="shared" si="28"/>
        <v>0</v>
      </c>
      <c r="I57" s="69">
        <f>C57*C7+D57*D7+E57*E7+F57*F7+G57*G7+H57*H7</f>
        <v>71.181333333333328</v>
      </c>
      <c r="J57" s="77">
        <f>IFERROR(INDEX('Laminat xom ashyo'!$S$5:$S$49,MATCH($A57,'Laminat xom ashyo'!$C$5:$C$49,0)),0)</f>
        <v>3000</v>
      </c>
      <c r="K57" s="82">
        <f>IFERROR(INDEX('Laminat xom ashyo'!$O$5:$O$49,MATCH($A57,'Laminat xom ashyo'!$C$5:$C$49,0)),0)</f>
        <v>0.1</v>
      </c>
      <c r="L57" s="77">
        <f>IFERROR(INDEX('Krasheniy xom ashyo'!$O$5:$O$35,MATCH($A57,'Krasheniy xom ashyo'!$C$5:$C$35,0)),J57)</f>
        <v>3000</v>
      </c>
      <c r="M57" s="82">
        <f>IFERROR(INDEX('Krasheniy xom ashyo'!$K$5:$K$35,MATCH($A57,'Krasheniy xom ashyo'!$C$5:$C$35,0)),K57)</f>
        <v>0.1</v>
      </c>
    </row>
    <row r="58" spans="1:13" x14ac:dyDescent="0.25">
      <c r="A58" s="25" t="s">
        <v>284</v>
      </c>
      <c r="B58" s="27" t="s">
        <v>285</v>
      </c>
      <c r="C58" s="42">
        <f t="shared" ref="C58:H58" si="29">C49*grunt_norma</f>
        <v>0</v>
      </c>
      <c r="D58" s="42">
        <f t="shared" si="29"/>
        <v>0</v>
      </c>
      <c r="E58" s="42">
        <f t="shared" si="29"/>
        <v>0</v>
      </c>
      <c r="F58" s="42">
        <f t="shared" si="29"/>
        <v>0</v>
      </c>
      <c r="G58" s="42">
        <f t="shared" si="29"/>
        <v>0</v>
      </c>
      <c r="H58" s="42">
        <f t="shared" si="29"/>
        <v>0</v>
      </c>
      <c r="I58" s="69">
        <f>C58*C7+D58*D7+E58*E7+F58*F7+G58*G7+H58*H7</f>
        <v>0</v>
      </c>
      <c r="J58" s="77">
        <f>IFERROR(INDEX('Laminat xom ashyo'!$S$5:$S$49,MATCH($A58,'Laminat xom ashyo'!$C$5:$C$49,0)),0)</f>
        <v>0</v>
      </c>
      <c r="K58" s="82">
        <f>IFERROR(INDEX('Laminat xom ashyo'!$O$5:$O$49,MATCH($A58,'Laminat xom ashyo'!$C$5:$C$49,0)),0)</f>
        <v>0</v>
      </c>
      <c r="L58" s="77">
        <f>IFERROR(INDEX('Krasheniy xom ashyo'!$O$5:$O$35,MATCH($A58,'Krasheniy xom ashyo'!$C$5:$C$35,0)),J58)</f>
        <v>0</v>
      </c>
      <c r="M58" s="82">
        <f>IFERROR(INDEX('Krasheniy xom ashyo'!$K$5:$K$35,MATCH($A58,'Krasheniy xom ashyo'!$C$5:$C$35,0)),K58)</f>
        <v>0</v>
      </c>
    </row>
    <row r="59" spans="1:13" x14ac:dyDescent="0.25">
      <c r="A59" s="25" t="s">
        <v>287</v>
      </c>
      <c r="B59" s="27" t="s">
        <v>285</v>
      </c>
      <c r="C59" s="42">
        <f t="shared" ref="C59:H59" si="30">C49*emal_norma</f>
        <v>0</v>
      </c>
      <c r="D59" s="42">
        <f t="shared" si="30"/>
        <v>0</v>
      </c>
      <c r="E59" s="42">
        <f t="shared" si="30"/>
        <v>0</v>
      </c>
      <c r="F59" s="42">
        <f t="shared" si="30"/>
        <v>0</v>
      </c>
      <c r="G59" s="42">
        <f t="shared" si="30"/>
        <v>0</v>
      </c>
      <c r="H59" s="42">
        <f t="shared" si="30"/>
        <v>0</v>
      </c>
      <c r="I59" s="69">
        <f>C59*C7+D59*D7+E59*E7+F59*F7+G59*G7+H59*H7</f>
        <v>0</v>
      </c>
      <c r="J59" s="77">
        <f>IFERROR(INDEX('Laminat xom ashyo'!$S$5:$S$49,MATCH($A59,'Laminat xom ashyo'!$C$5:$C$49,0)),0)</f>
        <v>0</v>
      </c>
      <c r="K59" s="82">
        <f>IFERROR(INDEX('Laminat xom ashyo'!$O$5:$O$49,MATCH($A59,'Laminat xom ashyo'!$C$5:$C$49,0)),0)</f>
        <v>0</v>
      </c>
      <c r="L59" s="77">
        <f>IFERROR(INDEX('Krasheniy xom ashyo'!$O$5:$O$35,MATCH($A59,'Krasheniy xom ashyo'!$C$5:$C$35,0)),J59)</f>
        <v>0</v>
      </c>
      <c r="M59" s="82">
        <f>IFERROR(INDEX('Krasheniy xom ashyo'!$K$5:$K$35,MATCH($A59,'Krasheniy xom ashyo'!$C$5:$C$35,0)),K59)</f>
        <v>0</v>
      </c>
    </row>
    <row r="60" spans="1:13" x14ac:dyDescent="0.25">
      <c r="A60" s="25" t="s">
        <v>288</v>
      </c>
      <c r="B60" s="27" t="s">
        <v>285</v>
      </c>
      <c r="C60" s="42">
        <f t="shared" ref="C60:H60" si="31">C49*lak_norma</f>
        <v>0</v>
      </c>
      <c r="D60" s="42">
        <f t="shared" si="31"/>
        <v>0</v>
      </c>
      <c r="E60" s="42">
        <f t="shared" si="31"/>
        <v>0</v>
      </c>
      <c r="F60" s="42">
        <f t="shared" si="31"/>
        <v>0</v>
      </c>
      <c r="G60" s="42">
        <f t="shared" si="31"/>
        <v>0</v>
      </c>
      <c r="H60" s="42">
        <f t="shared" si="31"/>
        <v>0</v>
      </c>
      <c r="I60" s="69">
        <f>C60*C7+D60*D7+E60*E7+F60*F7+G60*G7+H60*H7</f>
        <v>0</v>
      </c>
      <c r="J60" s="77">
        <f>IFERROR(INDEX('Laminat xom ashyo'!$S$5:$S$49,MATCH($A60,'Laminat xom ashyo'!$C$5:$C$49,0)),0)</f>
        <v>0</v>
      </c>
      <c r="K60" s="82">
        <f>IFERROR(INDEX('Laminat xom ashyo'!$O$5:$O$49,MATCH($A60,'Laminat xom ashyo'!$C$5:$C$49,0)),0)</f>
        <v>0</v>
      </c>
      <c r="L60" s="77">
        <f>IFERROR(INDEX('Krasheniy xom ashyo'!$O$5:$O$35,MATCH($A60,'Krasheniy xom ashyo'!$C$5:$C$35,0)),J60)</f>
        <v>0</v>
      </c>
      <c r="M60" s="82">
        <f>IFERROR(INDEX('Krasheniy xom ashyo'!$K$5:$K$35,MATCH($A60,'Krasheniy xom ashyo'!$C$5:$C$35,0)),K60)</f>
        <v>0</v>
      </c>
    </row>
    <row r="61" spans="1:13" x14ac:dyDescent="0.25">
      <c r="A61" s="25" t="s">
        <v>289</v>
      </c>
      <c r="B61" s="27" t="s">
        <v>285</v>
      </c>
      <c r="C61" s="42">
        <f t="shared" ref="C61:H61" si="32">C49*qotir_norma</f>
        <v>0</v>
      </c>
      <c r="D61" s="42">
        <f t="shared" si="32"/>
        <v>0</v>
      </c>
      <c r="E61" s="42">
        <f t="shared" si="32"/>
        <v>0</v>
      </c>
      <c r="F61" s="42">
        <f t="shared" si="32"/>
        <v>0</v>
      </c>
      <c r="G61" s="42">
        <f t="shared" si="32"/>
        <v>0</v>
      </c>
      <c r="H61" s="42">
        <f t="shared" si="32"/>
        <v>0</v>
      </c>
      <c r="I61" s="69">
        <f>C61*C7+D61*D7+E61*E7+F61*F7+G61*G7+H61*H7</f>
        <v>0</v>
      </c>
      <c r="J61" s="77">
        <f>IFERROR(INDEX('Laminat xom ashyo'!$S$5:$S$49,MATCH($A61,'Laminat xom ashyo'!$C$5:$C$49,0)),0)</f>
        <v>0</v>
      </c>
      <c r="K61" s="82">
        <f>IFERROR(INDEX('Laminat xom ashyo'!$O$5:$O$49,MATCH($A61,'Laminat xom ashyo'!$C$5:$C$49,0)),0)</f>
        <v>0</v>
      </c>
      <c r="L61" s="77">
        <f>IFERROR(INDEX('Krasheniy xom ashyo'!$O$5:$O$35,MATCH($A61,'Krasheniy xom ashyo'!$C$5:$C$35,0)),J61)</f>
        <v>0</v>
      </c>
      <c r="M61" s="82">
        <f>IFERROR(INDEX('Krasheniy xom ashyo'!$K$5:$K$35,MATCH($A61,'Krasheniy xom ashyo'!$C$5:$C$35,0)),K61)</f>
        <v>0</v>
      </c>
    </row>
    <row r="62" spans="1:13" x14ac:dyDescent="0.25">
      <c r="A62" s="25" t="s">
        <v>290</v>
      </c>
      <c r="B62" s="27" t="s">
        <v>245</v>
      </c>
      <c r="C62" s="42">
        <f t="shared" ref="C62:H62" si="33">C49*eritgich_norma</f>
        <v>0</v>
      </c>
      <c r="D62" s="42">
        <f t="shared" si="33"/>
        <v>0</v>
      </c>
      <c r="E62" s="42">
        <f t="shared" si="33"/>
        <v>0</v>
      </c>
      <c r="F62" s="42">
        <f t="shared" si="33"/>
        <v>0</v>
      </c>
      <c r="G62" s="42">
        <f t="shared" si="33"/>
        <v>0</v>
      </c>
      <c r="H62" s="42">
        <f t="shared" si="33"/>
        <v>0</v>
      </c>
      <c r="I62" s="69">
        <f>C62*C7+D62*D7+E62*E7+F62*F7+G62*G7+H62*H7</f>
        <v>0</v>
      </c>
      <c r="J62" s="77">
        <f>IFERROR(INDEX('Laminat xom ashyo'!$S$5:$S$49,MATCH($A62,'Laminat xom ashyo'!$C$5:$C$49,0)),0)</f>
        <v>0</v>
      </c>
      <c r="K62" s="82">
        <f>IFERROR(INDEX('Laminat xom ashyo'!$O$5:$O$49,MATCH($A62,'Laminat xom ashyo'!$C$5:$C$49,0)),0)</f>
        <v>0</v>
      </c>
      <c r="L62" s="77">
        <f>IFERROR(INDEX('Krasheniy xom ashyo'!$O$5:$O$35,MATCH($A62,'Krasheniy xom ashyo'!$C$5:$C$35,0)),J62)</f>
        <v>0</v>
      </c>
      <c r="M62" s="82">
        <f>IFERROR(INDEX('Krasheniy xom ashyo'!$K$5:$K$35,MATCH($A62,'Krasheniy xom ashyo'!$C$5:$C$35,0)),K62)</f>
        <v>0</v>
      </c>
    </row>
    <row r="63" spans="1:13" x14ac:dyDescent="0.25">
      <c r="A63" s="25" t="s">
        <v>291</v>
      </c>
      <c r="B63" s="27" t="s">
        <v>48</v>
      </c>
      <c r="C63" s="40">
        <f t="shared" ref="C63:H63" si="34">C49*shkurka_norma</f>
        <v>0</v>
      </c>
      <c r="D63" s="40">
        <f t="shared" si="34"/>
        <v>0</v>
      </c>
      <c r="E63" s="40">
        <f t="shared" si="34"/>
        <v>0</v>
      </c>
      <c r="F63" s="40">
        <f t="shared" si="34"/>
        <v>0</v>
      </c>
      <c r="G63" s="40">
        <f t="shared" si="34"/>
        <v>0</v>
      </c>
      <c r="H63" s="40">
        <f t="shared" si="34"/>
        <v>0</v>
      </c>
      <c r="I63" s="45">
        <f>C63*C7+D63*D7+E63*E7+F63*F7+G63*G7+H63*H7</f>
        <v>0</v>
      </c>
      <c r="J63" s="77">
        <f>IFERROR(INDEX('Laminat xom ashyo'!$S$5:$S$49,MATCH($A63,'Laminat xom ashyo'!$C$5:$C$49,0)),0)</f>
        <v>0</v>
      </c>
      <c r="K63" s="82">
        <f>IFERROR(INDEX('Laminat xom ashyo'!$O$5:$O$49,MATCH($A63,'Laminat xom ashyo'!$C$5:$C$49,0)),0)</f>
        <v>0</v>
      </c>
      <c r="L63" s="77">
        <f>IFERROR(INDEX('Krasheniy xom ashyo'!$O$5:$O$35,MATCH($A63,'Krasheniy xom ashyo'!$C$5:$C$35,0)),J63)</f>
        <v>0</v>
      </c>
      <c r="M63" s="82">
        <f>IFERROR(INDEX('Krasheniy xom ashyo'!$K$5:$K$35,MATCH($A63,'Krasheniy xom ashyo'!$C$5:$C$35,0)),K63)</f>
        <v>0</v>
      </c>
    </row>
    <row r="64" spans="1:13" x14ac:dyDescent="0.25">
      <c r="A64" s="25" t="s">
        <v>215</v>
      </c>
      <c r="B64" s="27" t="s">
        <v>48</v>
      </c>
      <c r="C64" s="40">
        <f t="shared" ref="C64:H64" si="35">C11*C12*C15*C32</f>
        <v>0</v>
      </c>
      <c r="D64" s="40">
        <f t="shared" si="35"/>
        <v>10</v>
      </c>
      <c r="E64" s="40">
        <f t="shared" si="35"/>
        <v>0</v>
      </c>
      <c r="F64" s="40">
        <f t="shared" si="35"/>
        <v>0</v>
      </c>
      <c r="G64" s="40">
        <f t="shared" si="35"/>
        <v>0</v>
      </c>
      <c r="H64" s="40">
        <f t="shared" si="35"/>
        <v>0</v>
      </c>
      <c r="I64" s="45">
        <f>C64*C7+D64*D7+E64*E7+F64*F7+G64*G7+H64*H7</f>
        <v>10</v>
      </c>
      <c r="J64" s="77">
        <f>IFERROR(INDEX('Laminat xom ashyo'!$S$5:$S$49,MATCH($A64,'Laminat xom ashyo'!$C$5:$C$49,0)),0)</f>
        <v>10000</v>
      </c>
      <c r="K64" s="82">
        <f>IFERROR(INDEX('Laminat xom ashyo'!$O$5:$O$49,MATCH($A64,'Laminat xom ashyo'!$C$5:$C$49,0)),0)</f>
        <v>0</v>
      </c>
      <c r="L64" s="77">
        <f>IFERROR(INDEX('Krasheniy xom ashyo'!$O$5:$O$35,MATCH($A64,'Krasheniy xom ashyo'!$C$5:$C$35,0)),J64)</f>
        <v>10000</v>
      </c>
      <c r="M64" s="82">
        <f>IFERROR(INDEX('Krasheniy xom ashyo'!$K$5:$K$35,MATCH($A64,'Krasheniy xom ashyo'!$C$5:$C$35,0)),K64)</f>
        <v>0</v>
      </c>
    </row>
    <row r="65" spans="1:13" x14ac:dyDescent="0.25">
      <c r="A65" s="25" t="s">
        <v>216</v>
      </c>
      <c r="B65" s="27" t="s">
        <v>48</v>
      </c>
      <c r="C65" s="40">
        <f t="shared" ref="C65:H65" si="36">C11*(C12*C15+C18)</f>
        <v>2</v>
      </c>
      <c r="D65" s="40">
        <f t="shared" si="36"/>
        <v>2</v>
      </c>
      <c r="E65" s="40">
        <f t="shared" si="36"/>
        <v>2</v>
      </c>
      <c r="F65" s="40">
        <f t="shared" si="36"/>
        <v>0</v>
      </c>
      <c r="G65" s="40">
        <f t="shared" si="36"/>
        <v>0</v>
      </c>
      <c r="H65" s="40">
        <f t="shared" si="36"/>
        <v>0</v>
      </c>
      <c r="I65" s="45">
        <f>C65*C7+D65*D7+E65*E7+F65*F7+G65*G7+H65*H7</f>
        <v>6</v>
      </c>
      <c r="J65" s="77">
        <f>IFERROR(INDEX('Laminat xom ashyo'!$S$5:$S$49,MATCH($A65,'Laminat xom ashyo'!$C$5:$C$49,0)),0)</f>
        <v>50000</v>
      </c>
      <c r="K65" s="82">
        <f>IFERROR(INDEX('Laminat xom ashyo'!$O$5:$O$49,MATCH($A65,'Laminat xom ashyo'!$C$5:$C$49,0)),0)</f>
        <v>0</v>
      </c>
      <c r="L65" s="77">
        <f>IFERROR(INDEX('Krasheniy xom ashyo'!$O$5:$O$35,MATCH($A65,'Krasheniy xom ashyo'!$C$5:$C$35,0)),J65)</f>
        <v>50000</v>
      </c>
      <c r="M65" s="82">
        <f>IFERROR(INDEX('Krasheniy xom ashyo'!$K$5:$K$35,MATCH($A65,'Krasheniy xom ashyo'!$C$5:$C$35,0)),K65)</f>
        <v>0</v>
      </c>
    </row>
    <row r="66" spans="1:13" x14ac:dyDescent="0.25">
      <c r="A66" s="25" t="s">
        <v>260</v>
      </c>
      <c r="B66" s="27" t="s">
        <v>210</v>
      </c>
      <c r="C66" s="42">
        <f t="shared" ref="C66:H66" si="37">C11*C13*(2*C8+2*C31*C15)/1000</f>
        <v>13.44</v>
      </c>
      <c r="D66" s="42">
        <f t="shared" si="37"/>
        <v>0</v>
      </c>
      <c r="E66" s="42">
        <f t="shared" si="37"/>
        <v>0</v>
      </c>
      <c r="F66" s="42">
        <f t="shared" si="37"/>
        <v>0</v>
      </c>
      <c r="G66" s="42">
        <f t="shared" si="37"/>
        <v>0</v>
      </c>
      <c r="H66" s="42">
        <f t="shared" si="37"/>
        <v>0</v>
      </c>
      <c r="I66" s="69">
        <f>C66*C7+D66*D7+E66*E7+F66*F7+G66*G7+H66*H7</f>
        <v>13.44</v>
      </c>
      <c r="J66" s="77">
        <f>IFERROR(INDEX('Laminat xom ashyo'!$S$5:$S$49,MATCH($A66,'Laminat xom ashyo'!$C$5:$C$49,0)),0)</f>
        <v>0</v>
      </c>
      <c r="K66" s="82">
        <f>IFERROR(INDEX('Laminat xom ashyo'!$O$5:$O$49,MATCH($A66,'Laminat xom ashyo'!$C$5:$C$49,0)),0)</f>
        <v>0</v>
      </c>
      <c r="L66" s="77">
        <f>IFERROR(INDEX('Krasheniy xom ashyo'!$O$5:$O$35,MATCH($A66,'Krasheniy xom ashyo'!$C$5:$C$35,0)),J66)</f>
        <v>0</v>
      </c>
      <c r="M66" s="82">
        <f>IFERROR(INDEX('Krasheniy xom ashyo'!$K$5:$K$35,MATCH($A66,'Krasheniy xom ashyo'!$C$5:$C$35,0)),K66)</f>
        <v>0</v>
      </c>
    </row>
    <row r="67" spans="1:13" x14ac:dyDescent="0.25">
      <c r="A67" s="25" t="s">
        <v>262</v>
      </c>
      <c r="B67" s="27" t="s">
        <v>234</v>
      </c>
      <c r="C67" s="40">
        <f t="shared" ref="C67:H67" si="38">C11*C13*C15</f>
        <v>2</v>
      </c>
      <c r="D67" s="40">
        <f t="shared" si="38"/>
        <v>0</v>
      </c>
      <c r="E67" s="40">
        <f t="shared" si="38"/>
        <v>0</v>
      </c>
      <c r="F67" s="40">
        <f t="shared" si="38"/>
        <v>0</v>
      </c>
      <c r="G67" s="40">
        <f t="shared" si="38"/>
        <v>0</v>
      </c>
      <c r="H67" s="40">
        <f t="shared" si="38"/>
        <v>0</v>
      </c>
      <c r="I67" s="45">
        <f>C67*C7+D67*D7+E67*E7+F67*F7+G67*G7+H67*H7</f>
        <v>2</v>
      </c>
      <c r="J67" s="77">
        <f>IFERROR(INDEX('Laminat xom ashyo'!$S$5:$S$49,MATCH($A67,'Laminat xom ashyo'!$C$5:$C$49,0)),0)</f>
        <v>0</v>
      </c>
      <c r="K67" s="82">
        <f>IFERROR(INDEX('Laminat xom ashyo'!$O$5:$O$49,MATCH($A67,'Laminat xom ashyo'!$C$5:$C$49,0)),0)</f>
        <v>0</v>
      </c>
      <c r="L67" s="77">
        <f>IFERROR(INDEX('Krasheniy xom ashyo'!$O$5:$O$35,MATCH($A67,'Krasheniy xom ashyo'!$C$5:$C$35,0)),J67)</f>
        <v>0</v>
      </c>
      <c r="M67" s="82">
        <f>IFERROR(INDEX('Krasheniy xom ashyo'!$K$5:$K$35,MATCH($A67,'Krasheniy xom ashyo'!$C$5:$C$35,0)),K67)</f>
        <v>0</v>
      </c>
    </row>
    <row r="68" spans="1:13" x14ac:dyDescent="0.25">
      <c r="A68" s="25" t="s">
        <v>221</v>
      </c>
      <c r="B68" s="27" t="s">
        <v>210</v>
      </c>
      <c r="C68" s="42">
        <f t="shared" ref="C68:H68" si="39">C11*C19*C28/1000</f>
        <v>0.64533333333333343</v>
      </c>
      <c r="D68" s="42">
        <f t="shared" si="39"/>
        <v>0</v>
      </c>
      <c r="E68" s="42">
        <f t="shared" si="39"/>
        <v>1.46</v>
      </c>
      <c r="F68" s="42">
        <f t="shared" si="39"/>
        <v>0</v>
      </c>
      <c r="G68" s="42">
        <f t="shared" si="39"/>
        <v>0</v>
      </c>
      <c r="H68" s="42">
        <f t="shared" si="39"/>
        <v>0</v>
      </c>
      <c r="I68" s="69">
        <f>C68*C7+D68*D7+E68*E7+F68*F7+G68*G7+H68*H7</f>
        <v>2.1053333333333333</v>
      </c>
      <c r="J68" s="77">
        <f>IFERROR(INDEX('Laminat xom ashyo'!$S$5:$S$49,MATCH($A68,'Laminat xom ashyo'!$C$5:$C$49,0)),0)</f>
        <v>30000</v>
      </c>
      <c r="K68" s="82">
        <f>IFERROR(INDEX('Laminat xom ashyo'!$O$5:$O$49,MATCH($A68,'Laminat xom ashyo'!$C$5:$C$49,0)),0)</f>
        <v>0</v>
      </c>
      <c r="L68" s="77">
        <f>IFERROR(INDEX('Krasheniy xom ashyo'!$O$5:$O$35,MATCH($A68,'Krasheniy xom ashyo'!$C$5:$C$35,0)),J68)</f>
        <v>30000</v>
      </c>
      <c r="M68" s="82">
        <f>IFERROR(INDEX('Krasheniy xom ashyo'!$K$5:$K$35,MATCH($A68,'Krasheniy xom ashyo'!$C$5:$C$35,0)),K68)</f>
        <v>0</v>
      </c>
    </row>
    <row r="69" spans="1:13" x14ac:dyDescent="0.25">
      <c r="A69" s="25" t="s">
        <v>222</v>
      </c>
      <c r="B69" s="27" t="s">
        <v>48</v>
      </c>
      <c r="C69" s="40">
        <f t="shared" ref="C69:H69" si="40">C11*2*C19</f>
        <v>2</v>
      </c>
      <c r="D69" s="40">
        <f t="shared" si="40"/>
        <v>0</v>
      </c>
      <c r="E69" s="40">
        <f t="shared" si="40"/>
        <v>4</v>
      </c>
      <c r="F69" s="40">
        <f t="shared" si="40"/>
        <v>0</v>
      </c>
      <c r="G69" s="40">
        <f t="shared" si="40"/>
        <v>0</v>
      </c>
      <c r="H69" s="40">
        <f t="shared" si="40"/>
        <v>0</v>
      </c>
      <c r="I69" s="45">
        <f>C69*C7+D69*D7+E69*E7+F69*F7+G69*G7+H69*H7</f>
        <v>6</v>
      </c>
      <c r="J69" s="77">
        <f>IFERROR(INDEX('Laminat xom ashyo'!$S$5:$S$49,MATCH($A69,'Laminat xom ashyo'!$C$5:$C$49,0)),0)</f>
        <v>10000</v>
      </c>
      <c r="K69" s="82">
        <f>IFERROR(INDEX('Laminat xom ashyo'!$O$5:$O$49,MATCH($A69,'Laminat xom ashyo'!$C$5:$C$49,0)),0)</f>
        <v>0</v>
      </c>
      <c r="L69" s="77">
        <f>IFERROR(INDEX('Krasheniy xom ashyo'!$O$5:$O$35,MATCH($A69,'Krasheniy xom ashyo'!$C$5:$C$35,0)),J69)</f>
        <v>10000</v>
      </c>
      <c r="M69" s="82">
        <f>IFERROR(INDEX('Krasheniy xom ashyo'!$K$5:$K$35,MATCH($A69,'Krasheniy xom ashyo'!$C$5:$C$35,0)),K69)</f>
        <v>0</v>
      </c>
    </row>
    <row r="70" spans="1:13" x14ac:dyDescent="0.25">
      <c r="A70" s="25" t="s">
        <v>223</v>
      </c>
      <c r="B70" s="27" t="s">
        <v>48</v>
      </c>
      <c r="C70" s="40">
        <f t="shared" ref="C70:H70" si="41">C11*4*C17</f>
        <v>24</v>
      </c>
      <c r="D70" s="40">
        <f t="shared" si="41"/>
        <v>16</v>
      </c>
      <c r="E70" s="40">
        <f t="shared" si="41"/>
        <v>40</v>
      </c>
      <c r="F70" s="40">
        <f t="shared" si="41"/>
        <v>0</v>
      </c>
      <c r="G70" s="40">
        <f t="shared" si="41"/>
        <v>0</v>
      </c>
      <c r="H70" s="40">
        <f t="shared" si="41"/>
        <v>0</v>
      </c>
      <c r="I70" s="45">
        <f>C70*C7+D70*D7+E70*E7+F70*F7+G70*G7+H70*H7</f>
        <v>80</v>
      </c>
      <c r="J70" s="77">
        <f>IFERROR(INDEX('Laminat xom ashyo'!$S$5:$S$49,MATCH($A70,'Laminat xom ashyo'!$C$5:$C$49,0)),0)</f>
        <v>500</v>
      </c>
      <c r="K70" s="82">
        <f>IFERROR(INDEX('Laminat xom ashyo'!$O$5:$O$49,MATCH($A70,'Laminat xom ashyo'!$C$5:$C$49,0)),0)</f>
        <v>0</v>
      </c>
      <c r="L70" s="77">
        <f>IFERROR(INDEX('Krasheniy xom ashyo'!$O$5:$O$35,MATCH($A70,'Krasheniy xom ashyo'!$C$5:$C$35,0)),J70)</f>
        <v>500</v>
      </c>
      <c r="M70" s="82">
        <f>IFERROR(INDEX('Krasheniy xom ashyo'!$K$5:$K$35,MATCH($A70,'Krasheniy xom ashyo'!$C$5:$C$35,0)),K70)</f>
        <v>0</v>
      </c>
    </row>
    <row r="71" spans="1:13" x14ac:dyDescent="0.25">
      <c r="A71" s="25" t="s">
        <v>263</v>
      </c>
      <c r="B71" s="27" t="s">
        <v>217</v>
      </c>
      <c r="C71" s="40">
        <f t="shared" ref="C71:H71" si="42">C11*C18</f>
        <v>2</v>
      </c>
      <c r="D71" s="40">
        <f t="shared" si="42"/>
        <v>0</v>
      </c>
      <c r="E71" s="40">
        <f t="shared" si="42"/>
        <v>2</v>
      </c>
      <c r="F71" s="40">
        <f t="shared" si="42"/>
        <v>0</v>
      </c>
      <c r="G71" s="40">
        <f t="shared" si="42"/>
        <v>0</v>
      </c>
      <c r="H71" s="40">
        <f t="shared" si="42"/>
        <v>0</v>
      </c>
      <c r="I71" s="45">
        <f>C71*C7+D71*D7+E71*E7+F71*F7+G71*G7+H71*H7</f>
        <v>4</v>
      </c>
      <c r="J71" s="77">
        <f>IFERROR(INDEX('Laminat xom ashyo'!$S$5:$S$49,MATCH($A71,'Laminat xom ashyo'!$C$5:$C$49,0)),0)</f>
        <v>0</v>
      </c>
      <c r="K71" s="82">
        <f>IFERROR(INDEX('Laminat xom ashyo'!$O$5:$O$49,MATCH($A71,'Laminat xom ashyo'!$C$5:$C$49,0)),0)</f>
        <v>0</v>
      </c>
      <c r="L71" s="77">
        <f>IFERROR(INDEX('Krasheniy xom ashyo'!$O$5:$O$35,MATCH($A71,'Krasheniy xom ashyo'!$C$5:$C$35,0)),J71)</f>
        <v>0</v>
      </c>
      <c r="M71" s="82">
        <f>IFERROR(INDEX('Krasheniy xom ashyo'!$K$5:$K$35,MATCH($A71,'Krasheniy xom ashyo'!$C$5:$C$35,0)),K71)</f>
        <v>0</v>
      </c>
    </row>
    <row r="72" spans="1:13" x14ac:dyDescent="0.25">
      <c r="A72" s="25" t="s">
        <v>224</v>
      </c>
      <c r="B72" s="27" t="s">
        <v>48</v>
      </c>
      <c r="C72" s="40">
        <f t="shared" ref="C72:H72" si="43">C11*(20+8*(C14-1)+4*C18)</f>
        <v>44</v>
      </c>
      <c r="D72" s="40">
        <f t="shared" si="43"/>
        <v>28</v>
      </c>
      <c r="E72" s="40">
        <f t="shared" si="43"/>
        <v>52</v>
      </c>
      <c r="F72" s="40">
        <f t="shared" si="43"/>
        <v>0</v>
      </c>
      <c r="G72" s="40">
        <f t="shared" si="43"/>
        <v>0</v>
      </c>
      <c r="H72" s="40">
        <f t="shared" si="43"/>
        <v>0</v>
      </c>
      <c r="I72" s="45">
        <f>C72*C7+D72*D7+E72*E7+F72*F7+G72*G7+H72*H7</f>
        <v>124</v>
      </c>
      <c r="J72" s="77">
        <f>IFERROR(INDEX('Laminat xom ashyo'!$S$5:$S$49,MATCH($A72,'Laminat xom ashyo'!$C$5:$C$49,0)),0)</f>
        <v>2000</v>
      </c>
      <c r="K72" s="82">
        <f>IFERROR(INDEX('Laminat xom ashyo'!$O$5:$O$49,MATCH($A72,'Laminat xom ashyo'!$C$5:$C$49,0)),0)</f>
        <v>0</v>
      </c>
      <c r="L72" s="77">
        <f>IFERROR(INDEX('Krasheniy xom ashyo'!$O$5:$O$35,MATCH($A72,'Krasheniy xom ashyo'!$C$5:$C$35,0)),J72)</f>
        <v>2000</v>
      </c>
      <c r="M72" s="82">
        <f>IFERROR(INDEX('Krasheniy xom ashyo'!$K$5:$K$35,MATCH($A72,'Krasheniy xom ashyo'!$C$5:$C$35,0)),K72)</f>
        <v>0</v>
      </c>
    </row>
    <row r="73" spans="1:13" x14ac:dyDescent="0.25">
      <c r="A73" s="25" t="s">
        <v>226</v>
      </c>
      <c r="B73" s="27" t="s">
        <v>48</v>
      </c>
      <c r="C73" s="40">
        <f t="shared" ref="C73:H73" si="44">C11*(20+8*(C14-1))</f>
        <v>36</v>
      </c>
      <c r="D73" s="40">
        <f t="shared" si="44"/>
        <v>28</v>
      </c>
      <c r="E73" s="40">
        <f t="shared" si="44"/>
        <v>44</v>
      </c>
      <c r="F73" s="40">
        <f t="shared" si="44"/>
        <v>0</v>
      </c>
      <c r="G73" s="40">
        <f t="shared" si="44"/>
        <v>0</v>
      </c>
      <c r="H73" s="40">
        <f t="shared" si="44"/>
        <v>0</v>
      </c>
      <c r="I73" s="45">
        <f>C73*C7+D73*D7+E73*E7+F73*F7+G73*G7+H73*H7</f>
        <v>108</v>
      </c>
      <c r="J73" s="77">
        <f>IFERROR(INDEX('Laminat xom ashyo'!$S$5:$S$49,MATCH($A73,'Laminat xom ashyo'!$C$5:$C$49,0)),0)</f>
        <v>2000</v>
      </c>
      <c r="K73" s="82">
        <f>IFERROR(INDEX('Laminat xom ashyo'!$O$5:$O$49,MATCH($A73,'Laminat xom ashyo'!$C$5:$C$49,0)),0)</f>
        <v>0</v>
      </c>
      <c r="L73" s="77">
        <f>IFERROR(INDEX('Krasheniy xom ashyo'!$O$5:$O$35,MATCH($A73,'Krasheniy xom ashyo'!$C$5:$C$35,0)),J73)</f>
        <v>2000</v>
      </c>
      <c r="M73" s="82">
        <f>IFERROR(INDEX('Krasheniy xom ashyo'!$K$5:$K$35,MATCH($A73,'Krasheniy xom ashyo'!$C$5:$C$35,0)),K73)</f>
        <v>0</v>
      </c>
    </row>
    <row r="74" spans="1:13" x14ac:dyDescent="0.25">
      <c r="A74" s="25" t="s">
        <v>227</v>
      </c>
      <c r="B74" s="27" t="s">
        <v>48</v>
      </c>
      <c r="C74" s="40">
        <f t="shared" ref="C74:H74" si="45">C11*(4*C12*C15*C32+16*C18+6*C19+2*C20)</f>
        <v>38</v>
      </c>
      <c r="D74" s="40">
        <f t="shared" si="45"/>
        <v>52</v>
      </c>
      <c r="E74" s="40">
        <f t="shared" si="45"/>
        <v>44</v>
      </c>
      <c r="F74" s="40">
        <f t="shared" si="45"/>
        <v>0</v>
      </c>
      <c r="G74" s="40">
        <f t="shared" si="45"/>
        <v>0</v>
      </c>
      <c r="H74" s="40">
        <f t="shared" si="45"/>
        <v>0</v>
      </c>
      <c r="I74" s="45">
        <f>C74*C7+D74*D7+E74*E7+F74*F7+G74*G7+H74*H7</f>
        <v>134</v>
      </c>
      <c r="J74" s="77">
        <f>IFERROR(INDEX('Laminat xom ashyo'!$S$5:$S$49,MATCH($A74,'Laminat xom ashyo'!$C$5:$C$49,0)),0)</f>
        <v>80</v>
      </c>
      <c r="K74" s="82">
        <f>IFERROR(INDEX('Laminat xom ashyo'!$O$5:$O$49,MATCH($A74,'Laminat xom ashyo'!$C$5:$C$49,0)),0)</f>
        <v>0</v>
      </c>
      <c r="L74" s="77">
        <f>IFERROR(INDEX('Krasheniy xom ashyo'!$O$5:$O$35,MATCH($A74,'Krasheniy xom ashyo'!$C$5:$C$35,0)),J74)</f>
        <v>80</v>
      </c>
      <c r="M74" s="82">
        <f>IFERROR(INDEX('Krasheniy xom ashyo'!$K$5:$K$35,MATCH($A74,'Krasheniy xom ashyo'!$C$5:$C$35,0)),K74)</f>
        <v>0</v>
      </c>
    </row>
    <row r="75" spans="1:13" x14ac:dyDescent="0.25">
      <c r="A75" s="25" t="s">
        <v>231</v>
      </c>
      <c r="B75" s="27" t="s">
        <v>48</v>
      </c>
      <c r="C75" s="40">
        <f t="shared" ref="C75:H75" si="46">C11*C21*ROUNDUP(2*(C8+C9)/100,0)</f>
        <v>88</v>
      </c>
      <c r="D75" s="40">
        <f t="shared" si="46"/>
        <v>68</v>
      </c>
      <c r="E75" s="40">
        <f t="shared" si="46"/>
        <v>0</v>
      </c>
      <c r="F75" s="40">
        <f t="shared" si="46"/>
        <v>0</v>
      </c>
      <c r="G75" s="40">
        <f t="shared" si="46"/>
        <v>0</v>
      </c>
      <c r="H75" s="40">
        <f t="shared" si="46"/>
        <v>0</v>
      </c>
      <c r="I75" s="45">
        <f>C75*C7+D75*D7+E75*E7+F75*F7+G75*G7+H75*H7</f>
        <v>156</v>
      </c>
      <c r="J75" s="77">
        <f>IFERROR(INDEX('Laminat xom ashyo'!$S$5:$S$49,MATCH($A75,'Laminat xom ashyo'!$C$5:$C$49,0)),0)</f>
        <v>40</v>
      </c>
      <c r="K75" s="82">
        <f>IFERROR(INDEX('Laminat xom ashyo'!$O$5:$O$49,MATCH($A75,'Laminat xom ashyo'!$C$5:$C$49,0)),0)</f>
        <v>0</v>
      </c>
      <c r="L75" s="77">
        <f>IFERROR(INDEX('Krasheniy xom ashyo'!$O$5:$O$35,MATCH($A75,'Krasheniy xom ashyo'!$C$5:$C$35,0)),J75)</f>
        <v>40</v>
      </c>
      <c r="M75" s="82">
        <f>IFERROR(INDEX('Krasheniy xom ashyo'!$K$5:$K$35,MATCH($A75,'Krasheniy xom ashyo'!$C$5:$C$35,0)),K75)</f>
        <v>0</v>
      </c>
    </row>
    <row r="76" spans="1:13" x14ac:dyDescent="0.25">
      <c r="A76" s="25" t="s">
        <v>264</v>
      </c>
      <c r="B76" s="27" t="s">
        <v>48</v>
      </c>
      <c r="C76" s="40">
        <f t="shared" ref="C76:H76" si="47">C11*C20</f>
        <v>0</v>
      </c>
      <c r="D76" s="40">
        <f t="shared" si="47"/>
        <v>6</v>
      </c>
      <c r="E76" s="40">
        <f t="shared" si="47"/>
        <v>0</v>
      </c>
      <c r="F76" s="40">
        <f t="shared" si="47"/>
        <v>0</v>
      </c>
      <c r="G76" s="40">
        <f t="shared" si="47"/>
        <v>0</v>
      </c>
      <c r="H76" s="40">
        <f t="shared" si="47"/>
        <v>0</v>
      </c>
      <c r="I76" s="45">
        <f>C76*C7+D76*D7+E76*E7+F76*F7+G76*G7+H76*H7</f>
        <v>6</v>
      </c>
      <c r="J76" s="77">
        <f>IFERROR(INDEX('Laminat xom ashyo'!$S$5:$S$49,MATCH($A76,'Laminat xom ashyo'!$C$5:$C$49,0)),0)</f>
        <v>0</v>
      </c>
      <c r="K76" s="82">
        <f>IFERROR(INDEX('Laminat xom ashyo'!$O$5:$O$49,MATCH($A76,'Laminat xom ashyo'!$C$5:$C$49,0)),0)</f>
        <v>0</v>
      </c>
      <c r="L76" s="77">
        <f>IFERROR(INDEX('Krasheniy xom ashyo'!$O$5:$O$35,MATCH($A76,'Krasheniy xom ashyo'!$C$5:$C$35,0)),J76)</f>
        <v>0</v>
      </c>
      <c r="M76" s="82">
        <f>IFERROR(INDEX('Krasheniy xom ashyo'!$K$5:$K$35,MATCH($A76,'Krasheniy xom ashyo'!$C$5:$C$35,0)),K76)</f>
        <v>0</v>
      </c>
    </row>
    <row r="77" spans="1:13" x14ac:dyDescent="0.25">
      <c r="A77" s="25" t="s">
        <v>247</v>
      </c>
      <c r="B77" s="27" t="s">
        <v>248</v>
      </c>
      <c r="C77" s="40">
        <f t="shared" ref="C77:H77" si="48">C11*C12*ROUNDUP(C16/2,0)</f>
        <v>0</v>
      </c>
      <c r="D77" s="40">
        <f t="shared" si="48"/>
        <v>1</v>
      </c>
      <c r="E77" s="40">
        <f t="shared" si="48"/>
        <v>0</v>
      </c>
      <c r="F77" s="40">
        <f t="shared" si="48"/>
        <v>0</v>
      </c>
      <c r="G77" s="40">
        <f t="shared" si="48"/>
        <v>0</v>
      </c>
      <c r="H77" s="40">
        <f t="shared" si="48"/>
        <v>0</v>
      </c>
      <c r="I77" s="45">
        <f>C77*C7+D77*D7+E77*E7+F77*F7+G77*G7+H77*H7</f>
        <v>1</v>
      </c>
      <c r="J77" s="77">
        <f>IFERROR(INDEX('Laminat xom ashyo'!$S$5:$S$49,MATCH($A77,'Laminat xom ashyo'!$C$5:$C$49,0)),0)</f>
        <v>50000</v>
      </c>
      <c r="K77" s="82">
        <f>IFERROR(INDEX('Laminat xom ashyo'!$O$5:$O$49,MATCH($A77,'Laminat xom ashyo'!$C$5:$C$49,0)),0)</f>
        <v>0</v>
      </c>
      <c r="L77" s="77">
        <f>IFERROR(INDEX('Krasheniy xom ashyo'!$O$5:$O$35,MATCH($A77,'Krasheniy xom ashyo'!$C$5:$C$35,0)),J77)</f>
        <v>50000</v>
      </c>
      <c r="M77" s="82">
        <f>IFERROR(INDEX('Krasheniy xom ashyo'!$K$5:$K$35,MATCH($A77,'Krasheniy xom ashyo'!$C$5:$C$35,0)),K77)</f>
        <v>0</v>
      </c>
    </row>
    <row r="78" spans="1:13" x14ac:dyDescent="0.25">
      <c r="A78" s="25" t="s">
        <v>266</v>
      </c>
      <c r="B78" s="27" t="s">
        <v>210</v>
      </c>
      <c r="C78" s="42">
        <f t="shared" ref="C78:H78" si="49">C11*C16*2*IF(C13=1,C30+C31,MAX(0,C30-2*k_oyna_chet)+MAX(0,C31-2*k_oyna_chet))/1000</f>
        <v>6.75</v>
      </c>
      <c r="D78" s="42">
        <f t="shared" si="49"/>
        <v>5.0279999999999996</v>
      </c>
      <c r="E78" s="42">
        <f t="shared" si="49"/>
        <v>0</v>
      </c>
      <c r="F78" s="42">
        <f t="shared" si="49"/>
        <v>0</v>
      </c>
      <c r="G78" s="42">
        <f t="shared" si="49"/>
        <v>0</v>
      </c>
      <c r="H78" s="42">
        <f t="shared" si="49"/>
        <v>0</v>
      </c>
      <c r="I78" s="69">
        <f>C78*C7+D78*D7+E78*E7+F78*F7+G78*G7+H78*H7</f>
        <v>11.777999999999999</v>
      </c>
      <c r="J78" s="77">
        <f>IFERROR(INDEX('Laminat xom ashyo'!$S$5:$S$49,MATCH($A78,'Laminat xom ashyo'!$C$5:$C$49,0)),0)</f>
        <v>5000</v>
      </c>
      <c r="K78" s="82">
        <f>IFERROR(INDEX('Laminat xom ashyo'!$O$5:$O$49,MATCH($A78,'Laminat xom ashyo'!$C$5:$C$49,0)),0)</f>
        <v>0</v>
      </c>
      <c r="L78" s="77">
        <f>IFERROR(INDEX('Krasheniy xom ashyo'!$O$5:$O$35,MATCH($A78,'Krasheniy xom ashyo'!$C$5:$C$35,0)),J78)</f>
        <v>5000</v>
      </c>
      <c r="M78" s="82">
        <f>IFERROR(INDEX('Krasheniy xom ashyo'!$K$5:$K$35,MATCH($A78,'Krasheniy xom ashyo'!$C$5:$C$35,0)),K78)</f>
        <v>0</v>
      </c>
    </row>
    <row r="79" spans="1:13" x14ac:dyDescent="0.25">
      <c r="A79" s="25" t="s">
        <v>254</v>
      </c>
      <c r="B79" s="27" t="s">
        <v>152</v>
      </c>
      <c r="C79" s="42">
        <f t="shared" ref="C79:H79" si="50">ROUND((C52*ldsp_L*ldsp_W/1000000+C53*mdf_L*mdf_W/1000000)*upak_koef,1)</f>
        <v>6</v>
      </c>
      <c r="D79" s="42">
        <f t="shared" si="50"/>
        <v>3.4</v>
      </c>
      <c r="E79" s="42">
        <f t="shared" si="50"/>
        <v>6.9</v>
      </c>
      <c r="F79" s="42">
        <f t="shared" si="50"/>
        <v>0</v>
      </c>
      <c r="G79" s="42">
        <f t="shared" si="50"/>
        <v>0</v>
      </c>
      <c r="H79" s="42">
        <f t="shared" si="50"/>
        <v>0</v>
      </c>
      <c r="I79" s="69">
        <f>C79*C7+D79*D7+E79*E7+F79*F7+G79*G7+H79*H7</f>
        <v>16.3</v>
      </c>
      <c r="J79" s="77">
        <f>IFERROR(INDEX('Laminat xom ashyo'!$S$5:$S$49,MATCH($A79,'Laminat xom ashyo'!$C$5:$C$49,0)),0)</f>
        <v>10000</v>
      </c>
      <c r="K79" s="82">
        <f>IFERROR(INDEX('Laminat xom ashyo'!$O$5:$O$49,MATCH($A79,'Laminat xom ashyo'!$C$5:$C$49,0)),0)</f>
        <v>0</v>
      </c>
      <c r="L79" s="77">
        <f>IFERROR(INDEX('Krasheniy xom ashyo'!$O$5:$O$35,MATCH($A79,'Krasheniy xom ashyo'!$C$5:$C$35,0)),J79)</f>
        <v>10000</v>
      </c>
      <c r="M79" s="82">
        <f>IFERROR(INDEX('Krasheniy xom ashyo'!$K$5:$K$35,MATCH($A79,'Krasheniy xom ashyo'!$C$5:$C$35,0)),K79)</f>
        <v>0</v>
      </c>
    </row>
    <row r="80" spans="1:13" x14ac:dyDescent="0.25">
      <c r="A80" s="25" t="s">
        <v>256</v>
      </c>
      <c r="B80" s="27" t="s">
        <v>257</v>
      </c>
      <c r="C80" s="40">
        <f t="shared" ref="C80:H80" si="51">ROUND((C52*ldsp_L*ldsp_W/1000000+C53*mdf_L*mdf_W/1000000)*0.05,1)</f>
        <v>0.6</v>
      </c>
      <c r="D80" s="40">
        <f t="shared" si="51"/>
        <v>0.3</v>
      </c>
      <c r="E80" s="40">
        <f t="shared" si="51"/>
        <v>0.7</v>
      </c>
      <c r="F80" s="40">
        <f t="shared" si="51"/>
        <v>0</v>
      </c>
      <c r="G80" s="40">
        <f t="shared" si="51"/>
        <v>0</v>
      </c>
      <c r="H80" s="40">
        <f t="shared" si="51"/>
        <v>0</v>
      </c>
      <c r="I80" s="45">
        <f>C80*C7+D80*D7+E80*E7+F80*F7+G80*G7+H80*H7</f>
        <v>1.5999999999999999</v>
      </c>
      <c r="J80" s="77">
        <f>IFERROR(INDEX('Laminat xom ashyo'!$S$5:$S$49,MATCH($A80,'Laminat xom ashyo'!$C$5:$C$49,0)),0)</f>
        <v>20000</v>
      </c>
      <c r="K80" s="82">
        <f>IFERROR(INDEX('Laminat xom ashyo'!$O$5:$O$49,MATCH($A80,'Laminat xom ashyo'!$C$5:$C$49,0)),0)</f>
        <v>0</v>
      </c>
      <c r="L80" s="77">
        <f>IFERROR(INDEX('Krasheniy xom ashyo'!$O$5:$O$35,MATCH($A80,'Krasheniy xom ashyo'!$C$5:$C$35,0)),J80)</f>
        <v>20000</v>
      </c>
      <c r="M80" s="82">
        <f>IFERROR(INDEX('Krasheniy xom ashyo'!$K$5:$K$35,MATCH($A80,'Krasheniy xom ashyo'!$C$5:$C$35,0)),K80)</f>
        <v>0</v>
      </c>
    </row>
    <row r="81" spans="1:13" x14ac:dyDescent="0.25">
      <c r="A81" s="25" t="s">
        <v>258</v>
      </c>
      <c r="B81" s="27" t="s">
        <v>48</v>
      </c>
      <c r="C81" s="40">
        <f t="shared" ref="C81:H81" si="52">ROUNDUP((C52*ldsp_L*ldsp_W/1000000+C53*mdf_L*mdf_W/1000000)/10,0)</f>
        <v>2</v>
      </c>
      <c r="D81" s="40">
        <f t="shared" si="52"/>
        <v>1</v>
      </c>
      <c r="E81" s="40">
        <f t="shared" si="52"/>
        <v>2</v>
      </c>
      <c r="F81" s="40">
        <f t="shared" si="52"/>
        <v>0</v>
      </c>
      <c r="G81" s="40">
        <f t="shared" si="52"/>
        <v>0</v>
      </c>
      <c r="H81" s="40">
        <f t="shared" si="52"/>
        <v>0</v>
      </c>
      <c r="I81" s="45">
        <f>C81*C7+D81*D7+E81*E7+F81*F7+G81*G7+H81*H7</f>
        <v>5</v>
      </c>
      <c r="J81" s="77">
        <f>IFERROR(INDEX('Laminat xom ashyo'!$S$5:$S$49,MATCH($A81,'Laminat xom ashyo'!$C$5:$C$49,0)),0)</f>
        <v>10000</v>
      </c>
      <c r="K81" s="82">
        <f>IFERROR(INDEX('Laminat xom ashyo'!$O$5:$O$49,MATCH($A81,'Laminat xom ashyo'!$C$5:$C$49,0)),0)</f>
        <v>0</v>
      </c>
      <c r="L81" s="77">
        <f>IFERROR(INDEX('Krasheniy xom ashyo'!$O$5:$O$35,MATCH($A81,'Krasheniy xom ashyo'!$C$5:$C$35,0)),J81)</f>
        <v>10000</v>
      </c>
      <c r="M81" s="82">
        <f>IFERROR(INDEX('Krasheniy xom ashyo'!$K$5:$K$35,MATCH($A81,'Krasheniy xom ashyo'!$C$5:$C$35,0)),K81)</f>
        <v>0</v>
      </c>
    </row>
    <row r="82" spans="1:13" x14ac:dyDescent="0.25">
      <c r="A82" s="25" t="s">
        <v>259</v>
      </c>
      <c r="B82" s="27" t="s">
        <v>48</v>
      </c>
      <c r="C82" s="40">
        <f t="shared" ref="C82:H82" si="53">ROUNDUP((C52*ldsp_L*ldsp_W/1000000+C53*mdf_L*mdf_W/1000000),0)</f>
        <v>12</v>
      </c>
      <c r="D82" s="40">
        <f t="shared" si="53"/>
        <v>7</v>
      </c>
      <c r="E82" s="40">
        <f t="shared" si="53"/>
        <v>14</v>
      </c>
      <c r="F82" s="40">
        <f t="shared" si="53"/>
        <v>0</v>
      </c>
      <c r="G82" s="40">
        <f t="shared" si="53"/>
        <v>0</v>
      </c>
      <c r="H82" s="40">
        <f t="shared" si="53"/>
        <v>0</v>
      </c>
      <c r="I82" s="45">
        <f>C82*C7+D82*D7+E82*E7+F82*F7+G82*G7+H82*H7</f>
        <v>33</v>
      </c>
      <c r="J82" s="77">
        <f>IFERROR(INDEX('Laminat xom ashyo'!$S$5:$S$49,MATCH($A82,'Laminat xom ashyo'!$C$5:$C$49,0)),0)</f>
        <v>2000</v>
      </c>
      <c r="K82" s="82">
        <f>IFERROR(INDEX('Laminat xom ashyo'!$O$5:$O$49,MATCH($A82,'Laminat xom ashyo'!$C$5:$C$49,0)),0)</f>
        <v>0</v>
      </c>
      <c r="L82" s="77">
        <f>IFERROR(INDEX('Krasheniy xom ashyo'!$O$5:$O$35,MATCH($A82,'Krasheniy xom ashyo'!$C$5:$C$35,0)),J82)</f>
        <v>2000</v>
      </c>
      <c r="M82" s="82">
        <f>IFERROR(INDEX('Krasheniy xom ashyo'!$K$5:$K$35,MATCH($A82,'Krasheniy xom ashyo'!$C$5:$C$35,0)),K82)</f>
        <v>0</v>
      </c>
    </row>
    <row r="83" spans="1:13" x14ac:dyDescent="0.25">
      <c r="A83" s="25" t="s">
        <v>269</v>
      </c>
      <c r="B83" s="27" t="s">
        <v>199</v>
      </c>
      <c r="C83" s="42">
        <f t="shared" ref="C83:H83" si="54">C52+C53</f>
        <v>2.0602093397745569</v>
      </c>
      <c r="D83" s="42">
        <f t="shared" si="54"/>
        <v>1.1810383022774327</v>
      </c>
      <c r="E83" s="42">
        <f t="shared" si="54"/>
        <v>2.3716080055210487</v>
      </c>
      <c r="F83" s="42">
        <f t="shared" si="54"/>
        <v>0</v>
      </c>
      <c r="G83" s="42">
        <f t="shared" si="54"/>
        <v>0</v>
      </c>
      <c r="H83" s="42">
        <f t="shared" si="54"/>
        <v>0</v>
      </c>
      <c r="I83" s="69">
        <f>C83*C7+D83*D7+E83*E7+F83*F7+G83*G7+H83*H7</f>
        <v>5.6128556475730385</v>
      </c>
      <c r="J83" s="77">
        <f>IFERROR(INDEX('Laminat xom ashyo'!$S$5:$S$49,MATCH($A83,'Laminat xom ashyo'!$C$5:$C$49,0)),0)</f>
        <v>35000</v>
      </c>
      <c r="K83" s="82">
        <f>IFERROR(INDEX('Laminat xom ashyo'!$O$5:$O$49,MATCH($A83,'Laminat xom ashyo'!$C$5:$C$49,0)),0)</f>
        <v>0.15</v>
      </c>
      <c r="L83" s="77">
        <f>IFERROR(INDEX('Krasheniy xom ashyo'!$O$5:$O$35,MATCH($A83,'Krasheniy xom ashyo'!$C$5:$C$35,0)),J83)</f>
        <v>0</v>
      </c>
      <c r="M83" s="82">
        <f>IFERROR(INDEX('Krasheniy xom ashyo'!$K$5:$K$35,MATCH($A83,'Krasheniy xom ashyo'!$C$5:$C$35,0)),K83)</f>
        <v>0.15</v>
      </c>
    </row>
    <row r="84" spans="1:13" x14ac:dyDescent="0.25">
      <c r="A84" s="25" t="s">
        <v>292</v>
      </c>
      <c r="B84" s="27" t="s">
        <v>152</v>
      </c>
      <c r="C84" s="42">
        <f t="shared" ref="C84:H84" si="55">C49</f>
        <v>0</v>
      </c>
      <c r="D84" s="42">
        <f t="shared" si="55"/>
        <v>0</v>
      </c>
      <c r="E84" s="42">
        <f t="shared" si="55"/>
        <v>0</v>
      </c>
      <c r="F84" s="42">
        <f t="shared" si="55"/>
        <v>0</v>
      </c>
      <c r="G84" s="42">
        <f t="shared" si="55"/>
        <v>0</v>
      </c>
      <c r="H84" s="42">
        <f t="shared" si="55"/>
        <v>0</v>
      </c>
      <c r="I84" s="69">
        <f>C84*C7+D84*D7+E84*E7+F84*F7+G84*G7+H84*H7</f>
        <v>0</v>
      </c>
      <c r="J84" s="77">
        <f>IFERROR(INDEX('Laminat xom ashyo'!$S$5:$S$49,MATCH($A84,'Laminat xom ashyo'!$C$5:$C$49,0)),0)</f>
        <v>0</v>
      </c>
      <c r="K84" s="82">
        <f>IFERROR(INDEX('Laminat xom ashyo'!$O$5:$O$49,MATCH($A84,'Laminat xom ashyo'!$C$5:$C$49,0)),0)</f>
        <v>0</v>
      </c>
      <c r="L84" s="77">
        <f>IFERROR(INDEX('Krasheniy xom ashyo'!$O$5:$O$35,MATCH($A84,'Krasheniy xom ashyo'!$C$5:$C$35,0)),J84)</f>
        <v>0</v>
      </c>
      <c r="M84" s="82">
        <f>IFERROR(INDEX('Krasheniy xom ashyo'!$K$5:$K$35,MATCH($A84,'Krasheniy xom ashyo'!$C$5:$C$35,0)),K84)</f>
        <v>0</v>
      </c>
    </row>
    <row r="86" spans="1:13" ht="15.75" x14ac:dyDescent="0.25">
      <c r="A86" s="17" t="s">
        <v>380</v>
      </c>
    </row>
    <row r="87" spans="1:13" x14ac:dyDescent="0.25">
      <c r="A87" s="3" t="s">
        <v>381</v>
      </c>
      <c r="B87" s="27" t="s">
        <v>155</v>
      </c>
      <c r="C87" s="10">
        <f t="shared" ref="C87:H87" si="56">C7*SUMPRODUCT(C$52:C$84,(1+$K$52:$K$84)*$J$52:$J$84*(1-C24)+(1+$M$52:$M$84)*$L$52:$L$84*C24)</f>
        <v>2178652.3318439941</v>
      </c>
      <c r="D87" s="10">
        <f t="shared" si="56"/>
        <v>1411005.4118907563</v>
      </c>
      <c r="E87" s="10">
        <f t="shared" si="56"/>
        <v>1874358.0214446431</v>
      </c>
      <c r="F87" s="10">
        <f t="shared" si="56"/>
        <v>0</v>
      </c>
      <c r="G87" s="10">
        <f t="shared" si="56"/>
        <v>0</v>
      </c>
      <c r="H87" s="10">
        <f t="shared" si="56"/>
        <v>0</v>
      </c>
      <c r="I87" s="10">
        <f>SUM(C87:H87)</f>
        <v>5464015.7651793938</v>
      </c>
    </row>
    <row r="88" spans="1:13" x14ac:dyDescent="0.25">
      <c r="A88" s="25" t="s">
        <v>310</v>
      </c>
      <c r="B88" s="27" t="s">
        <v>155</v>
      </c>
      <c r="C88" s="9">
        <f t="shared" ref="C88:H88" si="57">C87*usta_foiz_k</f>
        <v>0</v>
      </c>
      <c r="D88" s="9">
        <f t="shared" si="57"/>
        <v>0</v>
      </c>
      <c r="E88" s="9">
        <f t="shared" si="57"/>
        <v>0</v>
      </c>
      <c r="F88" s="9">
        <f t="shared" si="57"/>
        <v>0</v>
      </c>
      <c r="G88" s="9">
        <f t="shared" si="57"/>
        <v>0</v>
      </c>
      <c r="H88" s="9">
        <f t="shared" si="57"/>
        <v>0</v>
      </c>
      <c r="I88" s="10">
        <f>SUM(C88:H88)</f>
        <v>0</v>
      </c>
    </row>
    <row r="89" spans="1:13" x14ac:dyDescent="0.25">
      <c r="A89" s="43" t="s">
        <v>311</v>
      </c>
      <c r="B89" s="44" t="s">
        <v>155</v>
      </c>
      <c r="C89" s="38">
        <f t="shared" ref="C89:H89" si="58">C87+C88</f>
        <v>2178652.3318439941</v>
      </c>
      <c r="D89" s="38">
        <f t="shared" si="58"/>
        <v>1411005.4118907563</v>
      </c>
      <c r="E89" s="38">
        <f t="shared" si="58"/>
        <v>1874358.0214446431</v>
      </c>
      <c r="F89" s="38">
        <f t="shared" si="58"/>
        <v>0</v>
      </c>
      <c r="G89" s="38">
        <f t="shared" si="58"/>
        <v>0</v>
      </c>
      <c r="H89" s="38">
        <f t="shared" si="58"/>
        <v>0</v>
      </c>
      <c r="I89" s="10">
        <f>SUM(C89:H89)</f>
        <v>5464015.7651793938</v>
      </c>
    </row>
    <row r="90" spans="1:13" x14ac:dyDescent="0.25">
      <c r="A90" s="25" t="s">
        <v>158</v>
      </c>
      <c r="B90" s="27" t="s">
        <v>155</v>
      </c>
      <c r="C90" s="9">
        <f t="shared" ref="C90:H90" si="59">IF(C7=0,0,ROUNDUP(C89/C7*(1+ustama_korpus)/yaxlit,0)*yaxlit)</f>
        <v>2179000</v>
      </c>
      <c r="D90" s="9">
        <f t="shared" si="59"/>
        <v>1412000</v>
      </c>
      <c r="E90" s="9">
        <f t="shared" si="59"/>
        <v>1875000</v>
      </c>
      <c r="F90" s="9">
        <f t="shared" si="59"/>
        <v>0</v>
      </c>
      <c r="G90" s="9">
        <f t="shared" si="59"/>
        <v>0</v>
      </c>
      <c r="H90" s="9">
        <f t="shared" si="59"/>
        <v>0</v>
      </c>
    </row>
    <row r="91" spans="1:13" x14ac:dyDescent="0.25">
      <c r="A91" s="43" t="s">
        <v>159</v>
      </c>
      <c r="B91" s="44" t="s">
        <v>155</v>
      </c>
      <c r="C91" s="38">
        <f t="shared" ref="C91:H91" si="60">C90*C7</f>
        <v>2179000</v>
      </c>
      <c r="D91" s="38">
        <f t="shared" si="60"/>
        <v>1412000</v>
      </c>
      <c r="E91" s="38">
        <f t="shared" si="60"/>
        <v>1875000</v>
      </c>
      <c r="F91" s="38">
        <f t="shared" si="60"/>
        <v>0</v>
      </c>
      <c r="G91" s="38">
        <f t="shared" si="60"/>
        <v>0</v>
      </c>
      <c r="H91" s="38">
        <f t="shared" si="60"/>
        <v>0</v>
      </c>
      <c r="I91" s="10">
        <f>SUM(C91:H91)</f>
        <v>5466000</v>
      </c>
    </row>
    <row r="92" spans="1:13" x14ac:dyDescent="0.25">
      <c r="A92" s="25" t="s">
        <v>382</v>
      </c>
      <c r="B92" s="27" t="s">
        <v>161</v>
      </c>
      <c r="C92" s="40">
        <f t="shared" ref="C92:H92" si="61">C11*SUMPRODUCT((C$52:C$84&gt;0)*(C24*($L$52:$L$84=0)+(1-C24)*($J$52:$J$84=0)))</f>
        <v>3</v>
      </c>
      <c r="D92" s="40">
        <f t="shared" si="61"/>
        <v>1</v>
      </c>
      <c r="E92" s="40">
        <f t="shared" si="61"/>
        <v>1</v>
      </c>
      <c r="F92" s="40">
        <f t="shared" si="61"/>
        <v>0</v>
      </c>
      <c r="G92" s="40">
        <f t="shared" si="61"/>
        <v>0</v>
      </c>
      <c r="H92" s="40">
        <f t="shared" si="61"/>
        <v>0</v>
      </c>
      <c r="I92" s="45">
        <f>SUM(C92:H92)</f>
        <v>5</v>
      </c>
    </row>
    <row r="93" spans="1:13" x14ac:dyDescent="0.25">
      <c r="A93" s="25" t="s">
        <v>383</v>
      </c>
      <c r="B93" s="27" t="s">
        <v>152</v>
      </c>
      <c r="C93" s="42">
        <f t="shared" ref="C93:H93" si="62">(C52*ldsp_L*ldsp_W/1000000+C53*mdf_L*mdf_W/1000000)</f>
        <v>11.940973333333332</v>
      </c>
      <c r="D93" s="42">
        <f t="shared" si="62"/>
        <v>6.8452979999999997</v>
      </c>
      <c r="E93" s="42">
        <f t="shared" si="62"/>
        <v>13.745839999999998</v>
      </c>
      <c r="F93" s="42">
        <f t="shared" si="62"/>
        <v>0</v>
      </c>
      <c r="G93" s="42">
        <f t="shared" si="62"/>
        <v>0</v>
      </c>
      <c r="H93" s="42">
        <f t="shared" si="62"/>
        <v>0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zoomScale="90" zoomScaleNormal="9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18" customWidth="1"/>
    <col min="3" max="3" width="20" customWidth="1"/>
    <col min="4" max="4" width="16" customWidth="1"/>
    <col min="5" max="5" width="52" customWidth="1"/>
    <col min="6" max="6" width="18" customWidth="1"/>
    <col min="7" max="7" width="16" customWidth="1"/>
    <col min="8" max="8" width="40" customWidth="1"/>
  </cols>
  <sheetData>
    <row r="1" spans="1:5" ht="18" x14ac:dyDescent="0.25">
      <c r="A1" s="1" t="s">
        <v>384</v>
      </c>
    </row>
    <row r="2" spans="1:5" x14ac:dyDescent="0.25">
      <c r="A2" s="2" t="s">
        <v>385</v>
      </c>
    </row>
    <row r="5" spans="1:5" ht="36" customHeight="1" x14ac:dyDescent="0.25">
      <c r="A5" s="6" t="s">
        <v>386</v>
      </c>
      <c r="B5" s="6" t="s">
        <v>387</v>
      </c>
      <c r="C5" s="6" t="s">
        <v>388</v>
      </c>
      <c r="D5" s="6" t="s">
        <v>32</v>
      </c>
      <c r="E5" s="6" t="s">
        <v>110</v>
      </c>
    </row>
    <row r="6" spans="1:5" x14ac:dyDescent="0.25">
      <c r="A6" s="88">
        <v>3</v>
      </c>
      <c r="B6" s="89">
        <v>0</v>
      </c>
      <c r="C6" s="90">
        <v>0.19</v>
      </c>
      <c r="D6" s="66">
        <v>0.05</v>
      </c>
      <c r="E6" s="28"/>
    </row>
    <row r="7" spans="1:5" x14ac:dyDescent="0.25">
      <c r="A7" s="88">
        <v>3</v>
      </c>
      <c r="B7" s="89">
        <v>0.2</v>
      </c>
      <c r="C7" s="90">
        <v>0.24</v>
      </c>
      <c r="D7" s="66">
        <v>3.3000000000000002E-2</v>
      </c>
      <c r="E7" s="28"/>
    </row>
    <row r="8" spans="1:5" x14ac:dyDescent="0.25">
      <c r="A8" s="88">
        <v>3</v>
      </c>
      <c r="B8" s="89">
        <v>0.25</v>
      </c>
      <c r="C8" s="90">
        <v>1</v>
      </c>
      <c r="D8" s="66">
        <v>0</v>
      </c>
      <c r="E8" s="28" t="s">
        <v>389</v>
      </c>
    </row>
    <row r="9" spans="1:5" x14ac:dyDescent="0.25">
      <c r="A9" s="88">
        <v>6</v>
      </c>
      <c r="B9" s="89">
        <v>0</v>
      </c>
      <c r="C9" s="90">
        <v>0.19</v>
      </c>
      <c r="D9" s="66">
        <v>0.04</v>
      </c>
      <c r="E9" s="28"/>
    </row>
    <row r="10" spans="1:5" x14ac:dyDescent="0.25">
      <c r="A10" s="88">
        <v>6</v>
      </c>
      <c r="B10" s="89">
        <v>0.2</v>
      </c>
      <c r="C10" s="90">
        <v>1</v>
      </c>
      <c r="D10" s="66">
        <v>3.3000000000000002E-2</v>
      </c>
      <c r="E10" s="28"/>
    </row>
    <row r="11" spans="1:5" x14ac:dyDescent="0.25">
      <c r="A11" s="88">
        <v>12</v>
      </c>
      <c r="B11" s="89">
        <v>0</v>
      </c>
      <c r="C11" s="90">
        <v>0.19</v>
      </c>
      <c r="D11" s="66">
        <v>3.5000000000000003E-2</v>
      </c>
      <c r="E11" s="28"/>
    </row>
    <row r="12" spans="1:5" x14ac:dyDescent="0.25">
      <c r="A12" s="88">
        <v>12</v>
      </c>
      <c r="B12" s="89">
        <v>0.2</v>
      </c>
      <c r="C12" s="90">
        <v>1</v>
      </c>
      <c r="D12" s="66">
        <v>3.3000000000000002E-2</v>
      </c>
      <c r="E12" s="28"/>
    </row>
    <row r="13" spans="1:5" x14ac:dyDescent="0.25">
      <c r="A13" s="88">
        <v>18</v>
      </c>
      <c r="B13" s="89">
        <v>0</v>
      </c>
      <c r="C13" s="90">
        <v>0.19</v>
      </c>
      <c r="D13" s="66">
        <v>3.3000000000000002E-2</v>
      </c>
      <c r="E13" s="28"/>
    </row>
    <row r="14" spans="1:5" x14ac:dyDescent="0.25">
      <c r="A14" s="88">
        <v>18</v>
      </c>
      <c r="B14" s="89">
        <v>0.2</v>
      </c>
      <c r="C14" s="90">
        <v>1</v>
      </c>
      <c r="D14" s="66">
        <v>0.03</v>
      </c>
      <c r="E14" s="28" t="s">
        <v>390</v>
      </c>
    </row>
    <row r="15" spans="1:5" x14ac:dyDescent="0.25">
      <c r="A15" s="88"/>
      <c r="B15" s="89"/>
      <c r="C15" s="90"/>
      <c r="D15" s="66"/>
      <c r="E15" s="28"/>
    </row>
    <row r="16" spans="1:5" x14ac:dyDescent="0.25">
      <c r="A16" s="88"/>
      <c r="B16" s="89"/>
      <c r="C16" s="90"/>
      <c r="D16" s="66"/>
      <c r="E16" s="28"/>
    </row>
    <row r="17" spans="1:6" x14ac:dyDescent="0.25">
      <c r="A17" s="88"/>
      <c r="B17" s="89"/>
      <c r="C17" s="90"/>
      <c r="D17" s="66"/>
      <c r="E17" s="28"/>
    </row>
    <row r="18" spans="1:6" x14ac:dyDescent="0.25">
      <c r="A18" s="88"/>
      <c r="B18" s="89"/>
      <c r="C18" s="90"/>
      <c r="D18" s="66"/>
      <c r="E18" s="28"/>
    </row>
    <row r="19" spans="1:6" x14ac:dyDescent="0.25">
      <c r="A19" s="88"/>
      <c r="B19" s="89"/>
      <c r="C19" s="90"/>
      <c r="D19" s="66"/>
      <c r="E19" s="28"/>
    </row>
    <row r="20" spans="1:6" x14ac:dyDescent="0.25">
      <c r="A20" s="88"/>
      <c r="B20" s="89"/>
      <c r="C20" s="90"/>
      <c r="D20" s="66"/>
      <c r="E20" s="28"/>
    </row>
    <row r="21" spans="1:6" x14ac:dyDescent="0.25">
      <c r="A21" s="88"/>
      <c r="B21" s="89"/>
      <c r="C21" s="90"/>
      <c r="D21" s="66"/>
      <c r="E21" s="28"/>
    </row>
    <row r="22" spans="1:6" x14ac:dyDescent="0.25">
      <c r="A22" s="88"/>
      <c r="B22" s="89"/>
      <c r="C22" s="90"/>
      <c r="D22" s="66"/>
      <c r="E22" s="28"/>
    </row>
    <row r="23" spans="1:6" x14ac:dyDescent="0.25">
      <c r="A23" s="88"/>
      <c r="B23" s="89"/>
      <c r="C23" s="90"/>
      <c r="D23" s="66"/>
      <c r="E23" s="28"/>
    </row>
    <row r="24" spans="1:6" x14ac:dyDescent="0.25">
      <c r="A24" s="88"/>
      <c r="B24" s="89"/>
      <c r="C24" s="90"/>
      <c r="D24" s="66"/>
      <c r="E24" s="28"/>
    </row>
    <row r="25" spans="1:6" x14ac:dyDescent="0.25">
      <c r="A25" s="88"/>
      <c r="B25" s="89"/>
      <c r="C25" s="90"/>
      <c r="D25" s="66"/>
      <c r="E25" s="28"/>
    </row>
    <row r="27" spans="1:6" ht="15.75" x14ac:dyDescent="0.25">
      <c r="A27" s="17" t="s">
        <v>391</v>
      </c>
    </row>
    <row r="28" spans="1:6" x14ac:dyDescent="0.25">
      <c r="A28" s="3" t="s">
        <v>392</v>
      </c>
      <c r="C28" s="64" t="s">
        <v>393</v>
      </c>
      <c r="E28" s="28" t="s">
        <v>394</v>
      </c>
    </row>
    <row r="29" spans="1:6" x14ac:dyDescent="0.25">
      <c r="A29" s="3" t="s">
        <v>395</v>
      </c>
      <c r="B29" s="88">
        <v>3</v>
      </c>
      <c r="C29" s="88">
        <v>6</v>
      </c>
      <c r="D29" s="88">
        <v>12</v>
      </c>
      <c r="E29" s="88">
        <v>18</v>
      </c>
      <c r="F29" s="2" t="s">
        <v>396</v>
      </c>
    </row>
    <row r="31" spans="1:6" ht="15.75" x14ac:dyDescent="0.25">
      <c r="A31" s="17" t="s">
        <v>397</v>
      </c>
    </row>
    <row r="32" spans="1:6" x14ac:dyDescent="0.25">
      <c r="A32" s="3" t="s">
        <v>398</v>
      </c>
      <c r="B32" s="10">
        <f>naqd_chegirma_bilan</f>
        <v>9660000</v>
      </c>
    </row>
    <row r="33" spans="1:8" x14ac:dyDescent="0.25">
      <c r="A33" s="3" t="s">
        <v>175</v>
      </c>
      <c r="B33" s="10">
        <f>IF(N(p_old_summa)&gt;0,MIN(p_old_summa,naqd_narx),MIN(naqd_narx,ROUNDUP(naqd_narx*N(p_old_foiz)/yaxlit,0)*yaxlit))</f>
        <v>0</v>
      </c>
    </row>
    <row r="34" spans="1:8" x14ac:dyDescent="0.25">
      <c r="A34" s="3" t="s">
        <v>399</v>
      </c>
      <c r="B34" s="91">
        <f>IF(naqd_narx=0,0,old_tolov/naqd_narx)</f>
        <v>0</v>
      </c>
    </row>
    <row r="35" spans="1:8" x14ac:dyDescent="0.25">
      <c r="A35" s="3" t="s">
        <v>400</v>
      </c>
      <c r="B35" s="10">
        <f>naqd_narx-old_tolov</f>
        <v>9660000</v>
      </c>
    </row>
    <row r="37" spans="1:8" ht="36" customHeight="1" x14ac:dyDescent="0.25">
      <c r="A37" s="6" t="s">
        <v>28</v>
      </c>
      <c r="B37" s="6" t="s">
        <v>386</v>
      </c>
      <c r="C37" s="6" t="s">
        <v>32</v>
      </c>
      <c r="D37" s="6" t="s">
        <v>401</v>
      </c>
      <c r="E37" s="6" t="s">
        <v>402</v>
      </c>
      <c r="F37" s="6" t="s">
        <v>403</v>
      </c>
      <c r="G37" s="6" t="s">
        <v>404</v>
      </c>
      <c r="H37" s="6" t="s">
        <v>110</v>
      </c>
    </row>
    <row r="38" spans="1:8" x14ac:dyDescent="0.25">
      <c r="A38" s="3" t="s">
        <v>29</v>
      </c>
      <c r="B38" s="92">
        <v>0</v>
      </c>
      <c r="C38" s="20">
        <v>0</v>
      </c>
      <c r="D38" s="9">
        <v>0</v>
      </c>
      <c r="E38" s="9">
        <v>0</v>
      </c>
      <c r="F38" s="10">
        <f>naqd_narx</f>
        <v>9660000</v>
      </c>
      <c r="G38" s="9">
        <f>F38-naqd_narx</f>
        <v>0</v>
      </c>
      <c r="H38" s="28" t="s">
        <v>405</v>
      </c>
    </row>
    <row r="39" spans="1:8" x14ac:dyDescent="0.25">
      <c r="A39" s="3" t="str">
        <f>$B$29&amp;" oy"</f>
        <v>3 oy</v>
      </c>
      <c r="B39" s="92">
        <f>$B$29</f>
        <v>3</v>
      </c>
      <c r="C39" s="20">
        <f>SUMIFS($D$6:$D$25,$A$6:$A$25,B39,$B$6:$B$25,SUMPRODUCT(MAX(($A$6:$A$25=B39)*($B$6:$B$25&lt;=old_ulush+0.000001)*$B$6:$B$25)))</f>
        <v>0.05</v>
      </c>
      <c r="D39" s="9">
        <f>IF(LEFT(tarif_baza,6)="Qoldiq",qoldiq,naqd_narx)*C39*B39</f>
        <v>1449000</v>
      </c>
      <c r="E39" s="9">
        <f>IF(B39=0,0,ROUNDUP((qoldiq+D39)/B39/yaxlit,0)*yaxlit)</f>
        <v>3703000</v>
      </c>
      <c r="F39" s="10">
        <f>old_tolov+E39*B39</f>
        <v>11109000</v>
      </c>
      <c r="G39" s="9">
        <f>F39-naqd_narx</f>
        <v>1449000</v>
      </c>
      <c r="H39" s="11" t="str">
        <f>IF(COUNTIF($A$6:$A$25,B39)=0,"Diqqat: bu muddat uchun tarif yo'q","")</f>
        <v/>
      </c>
    </row>
    <row r="40" spans="1:8" x14ac:dyDescent="0.25">
      <c r="A40" s="3" t="str">
        <f>$C$29&amp;" oy"</f>
        <v>6 oy</v>
      </c>
      <c r="B40" s="92">
        <f>$C$29</f>
        <v>6</v>
      </c>
      <c r="C40" s="20">
        <f>SUMIFS($D$6:$D$25,$A$6:$A$25,B40,$B$6:$B$25,SUMPRODUCT(MAX(($A$6:$A$25=B40)*($B$6:$B$25&lt;=old_ulush+0.000001)*$B$6:$B$25)))</f>
        <v>0.04</v>
      </c>
      <c r="D40" s="9">
        <f>IF(LEFT(tarif_baza,6)="Qoldiq",qoldiq,naqd_narx)*C40*B40</f>
        <v>2318400</v>
      </c>
      <c r="E40" s="9">
        <f>IF(B40=0,0,ROUNDUP((qoldiq+D40)/B40/yaxlit,0)*yaxlit)</f>
        <v>1997000</v>
      </c>
      <c r="F40" s="10">
        <f>old_tolov+E40*B40</f>
        <v>11982000</v>
      </c>
      <c r="G40" s="9">
        <f>F40-naqd_narx</f>
        <v>2322000</v>
      </c>
      <c r="H40" s="11" t="str">
        <f>IF(COUNTIF($A$6:$A$25,B40)=0,"Diqqat: bu muddat uchun tarif yo'q","")</f>
        <v/>
      </c>
    </row>
    <row r="41" spans="1:8" x14ac:dyDescent="0.25">
      <c r="A41" s="3" t="str">
        <f>$D$29&amp;" oy"</f>
        <v>12 oy</v>
      </c>
      <c r="B41" s="92">
        <f>$D$29</f>
        <v>12</v>
      </c>
      <c r="C41" s="20">
        <f>SUMIFS($D$6:$D$25,$A$6:$A$25,B41,$B$6:$B$25,SUMPRODUCT(MAX(($A$6:$A$25=B41)*($B$6:$B$25&lt;=old_ulush+0.000001)*$B$6:$B$25)))</f>
        <v>3.5000000000000003E-2</v>
      </c>
      <c r="D41" s="9">
        <f>IF(LEFT(tarif_baza,6)="Qoldiq",qoldiq,naqd_narx)*C41*B41</f>
        <v>4057200.0000000009</v>
      </c>
      <c r="E41" s="9">
        <f>IF(B41=0,0,ROUNDUP((qoldiq+D41)/B41/yaxlit,0)*yaxlit)</f>
        <v>1144000</v>
      </c>
      <c r="F41" s="10">
        <f>old_tolov+E41*B41</f>
        <v>13728000</v>
      </c>
      <c r="G41" s="9">
        <f>F41-naqd_narx</f>
        <v>4068000</v>
      </c>
      <c r="H41" s="11" t="str">
        <f>IF(COUNTIF($A$6:$A$25,B41)=0,"Diqqat: bu muddat uchun tarif yo'q","")</f>
        <v/>
      </c>
    </row>
    <row r="42" spans="1:8" x14ac:dyDescent="0.25">
      <c r="A42" s="3" t="str">
        <f>$E$29&amp;" oy"</f>
        <v>18 oy</v>
      </c>
      <c r="B42" s="92">
        <f>$E$29</f>
        <v>18</v>
      </c>
      <c r="C42" s="20">
        <f>SUMIFS($D$6:$D$25,$A$6:$A$25,B42,$B$6:$B$25,SUMPRODUCT(MAX(($A$6:$A$25=B42)*($B$6:$B$25&lt;=old_ulush+0.000001)*$B$6:$B$25)))</f>
        <v>3.3000000000000002E-2</v>
      </c>
      <c r="D42" s="9">
        <f>IF(LEFT(tarif_baza,6)="Qoldiq",qoldiq,naqd_narx)*C42*B42</f>
        <v>5738040</v>
      </c>
      <c r="E42" s="9">
        <f>IF(B42=0,0,ROUNDUP((qoldiq+D42)/B42/yaxlit,0)*yaxlit)</f>
        <v>856000</v>
      </c>
      <c r="F42" s="10">
        <f>old_tolov+E42*B42</f>
        <v>15408000</v>
      </c>
      <c r="G42" s="9">
        <f>F42-naqd_narx</f>
        <v>5748000</v>
      </c>
      <c r="H42" s="11" t="str">
        <f>IF(COUNTIF($A$6:$A$25,B42)=0,"Diqqat: bu muddat uchun tarif yo'q","")</f>
        <v/>
      </c>
    </row>
    <row r="44" spans="1:8" ht="15.75" x14ac:dyDescent="0.25">
      <c r="A44" s="17" t="s">
        <v>406</v>
      </c>
    </row>
    <row r="45" spans="1:8" x14ac:dyDescent="0.25">
      <c r="A45" s="3" t="s">
        <v>407</v>
      </c>
      <c r="B45" s="93">
        <f>IF(p_tolov_turi="Naqd",0,IFERROR(VALUE(LEFT(p_tolov_turi,FIND(" ",p_tolov_turi)-1)),0))</f>
        <v>0</v>
      </c>
    </row>
    <row r="46" spans="1:8" x14ac:dyDescent="0.25">
      <c r="A46" s="3" t="s">
        <v>408</v>
      </c>
      <c r="B46" s="93">
        <f>IFERROR(MATCH(tanlangan_oy,$B$38:$B$42,0),1)</f>
        <v>1</v>
      </c>
    </row>
    <row r="47" spans="1:8" x14ac:dyDescent="0.25">
      <c r="A47" s="3" t="s">
        <v>28</v>
      </c>
      <c r="B47" s="3" t="str">
        <f>INDEX($A$38:$A$42,tanlangan_q)</f>
        <v>Naqd</v>
      </c>
    </row>
    <row r="48" spans="1:8" x14ac:dyDescent="0.25">
      <c r="A48" s="3" t="s">
        <v>32</v>
      </c>
      <c r="B48" s="91">
        <f>INDEX($C$38:$C$42,tanlangan_q)</f>
        <v>0</v>
      </c>
    </row>
    <row r="49" spans="1:2" x14ac:dyDescent="0.25">
      <c r="A49" s="3" t="s">
        <v>402</v>
      </c>
      <c r="B49" s="10">
        <f>INDEX($E$38:$E$42,tanlangan_q)</f>
        <v>0</v>
      </c>
    </row>
    <row r="50" spans="1:2" x14ac:dyDescent="0.25">
      <c r="A50" s="3" t="s">
        <v>403</v>
      </c>
      <c r="B50" s="10">
        <f>INDEX($F$38:$F$42,tanlangan_q)</f>
        <v>9660000</v>
      </c>
    </row>
  </sheetData>
  <dataValidations count="1">
    <dataValidation type="list" sqref="C28">
      <formula1>"Qoldiq (narx − oldindan to'lov),To'liq narx"</formula1>
      <formula2>0</formula2>
    </dataValidation>
  </dataValidations>
  <pageMargins left="0.75" right="0.75" top="1" bottom="1" header="0.511811023622047" footer="0.511811023622047"/>
  <pageSetup paperSize="9" fitToHeight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zoomScale="90" zoomScaleNormal="9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18" customWidth="1"/>
    <col min="3" max="3" width="60" customWidth="1"/>
    <col min="4" max="4" width="12" customWidth="1"/>
    <col min="5" max="6" width="16" customWidth="1"/>
    <col min="7" max="7" width="12" customWidth="1"/>
    <col min="8" max="8" width="9" customWidth="1"/>
  </cols>
  <sheetData>
    <row r="1" spans="1:8" ht="18" x14ac:dyDescent="0.25">
      <c r="A1" s="1" t="s">
        <v>409</v>
      </c>
    </row>
    <row r="3" spans="1:8" ht="36" customHeight="1" x14ac:dyDescent="0.25">
      <c r="A3" s="6" t="s">
        <v>8</v>
      </c>
      <c r="B3" s="6" t="s">
        <v>41</v>
      </c>
      <c r="C3" s="6" t="s">
        <v>87</v>
      </c>
      <c r="D3" s="6" t="s">
        <v>169</v>
      </c>
      <c r="E3" s="6" t="s">
        <v>410</v>
      </c>
      <c r="F3" s="6" t="s">
        <v>171</v>
      </c>
      <c r="G3" s="6" t="s">
        <v>411</v>
      </c>
      <c r="H3" s="6" t="s">
        <v>333</v>
      </c>
    </row>
    <row r="4" spans="1:8" x14ac:dyDescent="0.25">
      <c r="A4" s="25" t="s">
        <v>15</v>
      </c>
      <c r="B4" s="25" t="s">
        <v>46</v>
      </c>
      <c r="C4" s="25" t="str">
        <f>Tannarx!B38</f>
        <v>240×60×220 sm, 6 eshik, 2 oyna, laminat</v>
      </c>
      <c r="D4" s="25" t="str">
        <f>Tannarx!C38&amp;" dona"</f>
        <v>1 dona</v>
      </c>
      <c r="E4" s="9">
        <f>Tannarx!D38</f>
        <v>3060000</v>
      </c>
      <c r="F4" s="9">
        <f>Tannarx!E38</f>
        <v>3060000</v>
      </c>
      <c r="G4" s="92">
        <f t="shared" ref="G4:G12" si="0">IF(AND(p_m_spalniy="Ha",N(F4)&gt;0),1,0)</f>
        <v>1</v>
      </c>
      <c r="H4" s="92">
        <f>IF(G4=1,COUNTIF(G$4:G4,1),"")</f>
        <v>1</v>
      </c>
    </row>
    <row r="5" spans="1:8" x14ac:dyDescent="0.25">
      <c r="A5" s="25" t="s">
        <v>15</v>
      </c>
      <c r="B5" s="25" t="s">
        <v>58</v>
      </c>
      <c r="C5" s="25" t="str">
        <f>Tannarx!B39</f>
        <v>170×220 sm, spinka 150 sm, figurali, oddiy kapot</v>
      </c>
      <c r="D5" s="25" t="str">
        <f>Tannarx!C39&amp;" dona"</f>
        <v>1 dona</v>
      </c>
      <c r="E5" s="9">
        <f>Tannarx!D39</f>
        <v>1183000</v>
      </c>
      <c r="F5" s="9">
        <f>Tannarx!E39</f>
        <v>1183000</v>
      </c>
      <c r="G5" s="92">
        <f t="shared" si="0"/>
        <v>1</v>
      </c>
      <c r="H5" s="92">
        <f>IF(G5=1,COUNTIF(G$4:G5,1),"")</f>
        <v>2</v>
      </c>
    </row>
    <row r="6" spans="1:8" x14ac:dyDescent="0.25">
      <c r="A6" s="25" t="s">
        <v>15</v>
      </c>
      <c r="B6" s="25" t="s">
        <v>67</v>
      </c>
      <c r="C6" s="25" t="str">
        <f>Tannarx!B40</f>
        <v>180x200 sm</v>
      </c>
      <c r="D6" s="25" t="str">
        <f>Tannarx!C40&amp;" dona"</f>
        <v>1 dona</v>
      </c>
      <c r="E6" s="9">
        <f>Tannarx!D40</f>
        <v>1200000</v>
      </c>
      <c r="F6" s="9">
        <f>Tannarx!E40</f>
        <v>1200000</v>
      </c>
      <c r="G6" s="92">
        <f t="shared" si="0"/>
        <v>1</v>
      </c>
      <c r="H6" s="92">
        <f>IF(G6=1,COUNTIF(G$4:G6,1),"")</f>
        <v>3</v>
      </c>
    </row>
    <row r="7" spans="1:8" x14ac:dyDescent="0.25">
      <c r="A7" s="25" t="s">
        <v>15</v>
      </c>
      <c r="B7" s="25" t="s">
        <v>74</v>
      </c>
      <c r="C7" s="25" t="str">
        <f>Tannarx!B41</f>
        <v>50×40×60 sm, 2 yashik, laminat</v>
      </c>
      <c r="D7" s="25" t="str">
        <f>Tannarx!C41&amp;" dona"</f>
        <v>1 dona</v>
      </c>
      <c r="E7" s="9">
        <f>Tannarx!D41</f>
        <v>579000</v>
      </c>
      <c r="F7" s="9">
        <f>Tannarx!E41</f>
        <v>579000</v>
      </c>
      <c r="G7" s="92">
        <f t="shared" si="0"/>
        <v>1</v>
      </c>
      <c r="H7" s="92">
        <f>IF(G7=1,COUNTIF(G$4:G7,1),"")</f>
        <v>4</v>
      </c>
    </row>
    <row r="8" spans="1:8" x14ac:dyDescent="0.25">
      <c r="A8" s="25" t="s">
        <v>15</v>
      </c>
      <c r="B8" s="25" t="s">
        <v>69</v>
      </c>
      <c r="C8" s="25" t="str">
        <f>Tannarx!B42</f>
        <v>160×45×83 sm, laminat</v>
      </c>
      <c r="D8" s="25" t="str">
        <f>Tannarx!C42&amp;" dona"</f>
        <v>1 dona</v>
      </c>
      <c r="E8" s="9">
        <f>Tannarx!D42</f>
        <v>1383000</v>
      </c>
      <c r="F8" s="9">
        <f>Tannarx!E42</f>
        <v>1383000</v>
      </c>
      <c r="G8" s="92">
        <f t="shared" si="0"/>
        <v>1</v>
      </c>
      <c r="H8" s="92">
        <f>IF(G8=1,COUNTIF(G$4:G8,1),"")</f>
        <v>5</v>
      </c>
    </row>
    <row r="9" spans="1:8" x14ac:dyDescent="0.25">
      <c r="A9" s="25" t="s">
        <v>15</v>
      </c>
      <c r="B9" s="25" t="s">
        <v>77</v>
      </c>
      <c r="C9" s="25" t="str">
        <f>Tannarx!B43</f>
        <v>80×50×100 sm, 4 yashik, laminat</v>
      </c>
      <c r="D9" s="25" t="str">
        <f>Tannarx!C43&amp;" dona"</f>
        <v>1 dona</v>
      </c>
      <c r="E9" s="9">
        <f>Tannarx!D43</f>
        <v>1302000</v>
      </c>
      <c r="F9" s="9">
        <f>Tannarx!E43</f>
        <v>1302000</v>
      </c>
      <c r="G9" s="92">
        <f t="shared" si="0"/>
        <v>1</v>
      </c>
      <c r="H9" s="92">
        <f>IF(G9=1,COUNTIF(G$4:G9,1),"")</f>
        <v>6</v>
      </c>
    </row>
    <row r="10" spans="1:8" x14ac:dyDescent="0.25">
      <c r="A10" s="25" t="s">
        <v>15</v>
      </c>
      <c r="B10" s="25" t="s">
        <v>79</v>
      </c>
      <c r="C10" s="25" t="str">
        <f>Tannarx!B44</f>
        <v>40×40×45 sm</v>
      </c>
      <c r="D10" s="25" t="str">
        <f>Tannarx!C44&amp;" dona"</f>
        <v>1 dona</v>
      </c>
      <c r="E10" s="9">
        <f>Tannarx!D44</f>
        <v>186000</v>
      </c>
      <c r="F10" s="9">
        <f>Tannarx!E44</f>
        <v>186000</v>
      </c>
      <c r="G10" s="92">
        <f t="shared" si="0"/>
        <v>1</v>
      </c>
      <c r="H10" s="92">
        <f>IF(G10=1,COUNTIF(G$4:G10,1),"")</f>
        <v>7</v>
      </c>
    </row>
    <row r="11" spans="1:8" x14ac:dyDescent="0.25">
      <c r="A11" s="25" t="s">
        <v>15</v>
      </c>
      <c r="B11" s="25" t="s">
        <v>81</v>
      </c>
      <c r="C11" s="25" t="str">
        <f>Tannarx!B45</f>
        <v>160×50 sm</v>
      </c>
      <c r="D11" s="25" t="str">
        <f>Tannarx!C45&amp;" dona"</f>
        <v>1 dona</v>
      </c>
      <c r="E11" s="9">
        <f>Tannarx!D45</f>
        <v>412000</v>
      </c>
      <c r="F11" s="9">
        <f>Tannarx!E45</f>
        <v>412000</v>
      </c>
      <c r="G11" s="92">
        <f t="shared" si="0"/>
        <v>1</v>
      </c>
      <c r="H11" s="92">
        <f>IF(G11=1,COUNTIF(G$4:G11,1),"")</f>
        <v>8</v>
      </c>
    </row>
    <row r="12" spans="1:8" x14ac:dyDescent="0.25">
      <c r="A12" s="25" t="s">
        <v>15</v>
      </c>
      <c r="B12" s="25" t="s">
        <v>91</v>
      </c>
      <c r="C12" s="25" t="str">
        <f>Tannarx!B46</f>
        <v>Butun buyurtma uchun</v>
      </c>
      <c r="D12" s="25" t="str">
        <f>Tannarx!C46&amp;" dona"</f>
        <v>1 dona</v>
      </c>
      <c r="E12" s="9">
        <f>Tannarx!D46</f>
        <v>355000</v>
      </c>
      <c r="F12" s="9">
        <f>Tannarx!E46</f>
        <v>355000</v>
      </c>
      <c r="G12" s="92">
        <f t="shared" si="0"/>
        <v>1</v>
      </c>
      <c r="H12" s="92">
        <f>IF(G12=1,COUNTIF(G$4:G12,1),"")</f>
        <v>9</v>
      </c>
    </row>
    <row r="13" spans="1:8" x14ac:dyDescent="0.25">
      <c r="A13" s="25" t="s">
        <v>412</v>
      </c>
      <c r="B13" s="25" t="s">
        <v>412</v>
      </c>
      <c r="C13" s="25" t="str">
        <f>IF(Oshxona!B5="","",Oshxona!B5&amp;", balandligi "&amp;Oshxona!C5&amp;" m")</f>
        <v>Akril, balandligi 2,2 m</v>
      </c>
      <c r="D13" s="25" t="str">
        <f>IF(Oshxona!D5="","",Oshxona!D5&amp;" m")</f>
        <v>3 m</v>
      </c>
      <c r="E13" s="9">
        <f>N(Oshxona!J5)</f>
        <v>3015000</v>
      </c>
      <c r="F13" s="9">
        <f>N(Oshxona!K5)</f>
        <v>9045000</v>
      </c>
      <c r="G13" s="92">
        <f t="shared" ref="G13:G18" si="1">IF(AND(p_m_oshxona="Ha",F13&gt;0),1,0)</f>
        <v>0</v>
      </c>
      <c r="H13" s="92" t="str">
        <f>IF(G13=1,COUNTIF(G$4:G13,1),"")</f>
        <v/>
      </c>
    </row>
    <row r="14" spans="1:8" x14ac:dyDescent="0.25">
      <c r="A14" s="25" t="s">
        <v>412</v>
      </c>
      <c r="B14" s="25" t="s">
        <v>412</v>
      </c>
      <c r="C14" s="25" t="str">
        <f>IF(Oshxona!B6="","",Oshxona!B6&amp;", balandligi "&amp;Oshxona!C6&amp;" m")</f>
        <v/>
      </c>
      <c r="D14" s="25" t="str">
        <f>IF(Oshxona!D6="","",Oshxona!D6&amp;" m")</f>
        <v/>
      </c>
      <c r="E14" s="9">
        <f>N(Oshxona!J6)</f>
        <v>0</v>
      </c>
      <c r="F14" s="9">
        <f>N(Oshxona!K6)</f>
        <v>0</v>
      </c>
      <c r="G14" s="92">
        <f t="shared" si="1"/>
        <v>0</v>
      </c>
      <c r="H14" s="92" t="str">
        <f>IF(G14=1,COUNTIF(G$4:G14,1),"")</f>
        <v/>
      </c>
    </row>
    <row r="15" spans="1:8" x14ac:dyDescent="0.25">
      <c r="A15" s="25" t="s">
        <v>412</v>
      </c>
      <c r="B15" s="25" t="s">
        <v>412</v>
      </c>
      <c r="C15" s="25" t="str">
        <f>IF(Oshxona!B7="","",Oshxona!B7&amp;", balandligi "&amp;Oshxona!C7&amp;" m")</f>
        <v/>
      </c>
      <c r="D15" s="25" t="str">
        <f>IF(Oshxona!D7="","",Oshxona!D7&amp;" m")</f>
        <v/>
      </c>
      <c r="E15" s="9">
        <f>N(Oshxona!J7)</f>
        <v>0</v>
      </c>
      <c r="F15" s="9">
        <f>N(Oshxona!K7)</f>
        <v>0</v>
      </c>
      <c r="G15" s="92">
        <f t="shared" si="1"/>
        <v>0</v>
      </c>
      <c r="H15" s="92" t="str">
        <f>IF(G15=1,COUNTIF(G$4:G15,1),"")</f>
        <v/>
      </c>
    </row>
    <row r="16" spans="1:8" x14ac:dyDescent="0.25">
      <c r="A16" s="25" t="s">
        <v>412</v>
      </c>
      <c r="B16" s="25" t="s">
        <v>412</v>
      </c>
      <c r="C16" s="25" t="str">
        <f>IF(Oshxona!B8="","",Oshxona!B8&amp;", balandligi "&amp;Oshxona!C8&amp;" m")</f>
        <v/>
      </c>
      <c r="D16" s="25" t="str">
        <f>IF(Oshxona!D8="","",Oshxona!D8&amp;" m")</f>
        <v/>
      </c>
      <c r="E16" s="9">
        <f>N(Oshxona!J8)</f>
        <v>0</v>
      </c>
      <c r="F16" s="9">
        <f>N(Oshxona!K8)</f>
        <v>0</v>
      </c>
      <c r="G16" s="92">
        <f t="shared" si="1"/>
        <v>0</v>
      </c>
      <c r="H16" s="92" t="str">
        <f>IF(G16=1,COUNTIF(G$4:G16,1),"")</f>
        <v/>
      </c>
    </row>
    <row r="17" spans="1:8" x14ac:dyDescent="0.25">
      <c r="A17" s="25" t="s">
        <v>412</v>
      </c>
      <c r="B17" s="25" t="s">
        <v>412</v>
      </c>
      <c r="C17" s="25" t="str">
        <f>IF(Oshxona!B9="","",Oshxona!B9&amp;", balandligi "&amp;Oshxona!C9&amp;" m")</f>
        <v/>
      </c>
      <c r="D17" s="25" t="str">
        <f>IF(Oshxona!D9="","",Oshxona!D9&amp;" m")</f>
        <v/>
      </c>
      <c r="E17" s="9">
        <f>N(Oshxona!J9)</f>
        <v>0</v>
      </c>
      <c r="F17" s="9">
        <f>N(Oshxona!K9)</f>
        <v>0</v>
      </c>
      <c r="G17" s="92">
        <f t="shared" si="1"/>
        <v>0</v>
      </c>
      <c r="H17" s="92" t="str">
        <f>IF(G17=1,COUNTIF(G$4:G17,1),"")</f>
        <v/>
      </c>
    </row>
    <row r="18" spans="1:8" x14ac:dyDescent="0.25">
      <c r="A18" s="25" t="s">
        <v>412</v>
      </c>
      <c r="B18" s="25" t="s">
        <v>412</v>
      </c>
      <c r="C18" s="25" t="str">
        <f>IF(Oshxona!B10="","",Oshxona!B10&amp;", balandligi "&amp;Oshxona!C10&amp;" m")</f>
        <v/>
      </c>
      <c r="D18" s="25" t="str">
        <f>IF(Oshxona!D10="","",Oshxona!D10&amp;" m")</f>
        <v/>
      </c>
      <c r="E18" s="9">
        <f>N(Oshxona!J10)</f>
        <v>0</v>
      </c>
      <c r="F18" s="9">
        <f>N(Oshxona!K10)</f>
        <v>0</v>
      </c>
      <c r="G18" s="92">
        <f t="shared" si="1"/>
        <v>0</v>
      </c>
      <c r="H18" s="92" t="str">
        <f>IF(G18=1,COUNTIF(G$4:G18,1),"")</f>
        <v/>
      </c>
    </row>
    <row r="19" spans="1:8" x14ac:dyDescent="0.25">
      <c r="A19" s="25" t="s">
        <v>22</v>
      </c>
      <c r="B19" s="25" t="str">
        <f>IF('Korpus hisob'!C6="","Korpus mebel",'Korpus hisob'!C6)</f>
        <v>Shkaf</v>
      </c>
      <c r="C19" s="25" t="str">
        <f>'Korpus mebel'!C38</f>
        <v>200×60×240 sm, 2 ta kupe eshik, 1 oyna, laminat — Namuna: yotoqxona</v>
      </c>
      <c r="D19" s="25" t="str">
        <f>'Korpus hisob'!C7&amp;" dona"</f>
        <v>1 dona</v>
      </c>
      <c r="E19" s="9">
        <f>'Korpus hisob'!C90</f>
        <v>2179000</v>
      </c>
      <c r="F19" s="9">
        <f>'Korpus hisob'!C91</f>
        <v>2179000</v>
      </c>
      <c r="G19" s="92">
        <f t="shared" ref="G19:G24" si="2">IF(AND(p_m_korpus="Ha",F19&gt;0),1,0)</f>
        <v>0</v>
      </c>
      <c r="H19" s="92" t="str">
        <f>IF(G19=1,COUNTIF(G$4:G19,1),"")</f>
        <v/>
      </c>
    </row>
    <row r="20" spans="1:8" x14ac:dyDescent="0.25">
      <c r="A20" s="25" t="s">
        <v>22</v>
      </c>
      <c r="B20" s="25" t="str">
        <f>IF('Korpus hisob'!D6="","Korpus mebel",'Korpus hisob'!D6)</f>
        <v>Prixojka</v>
      </c>
      <c r="C20" s="25" t="str">
        <f>'Korpus mebel'!D38</f>
        <v>120×40×220 sm, 2 ta oddiy eshik, 1 oyna, laminat — Namuna: yo'lak</v>
      </c>
      <c r="D20" s="25" t="str">
        <f>'Korpus hisob'!D7&amp;" dona"</f>
        <v>1 dona</v>
      </c>
      <c r="E20" s="9">
        <f>'Korpus hisob'!D90</f>
        <v>1412000</v>
      </c>
      <c r="F20" s="9">
        <f>'Korpus hisob'!D91</f>
        <v>1412000</v>
      </c>
      <c r="G20" s="92">
        <f t="shared" si="2"/>
        <v>0</v>
      </c>
      <c r="H20" s="92" t="str">
        <f>IF(G20=1,COUNTIF(G$4:G20,1),"")</f>
        <v/>
      </c>
    </row>
    <row r="21" spans="1:8" x14ac:dyDescent="0.25">
      <c r="A21" s="25" t="s">
        <v>22</v>
      </c>
      <c r="B21" s="25" t="str">
        <f>IF('Korpus hisob'!E6="","Korpus mebel",'Korpus hisob'!E6)</f>
        <v>Garderob</v>
      </c>
      <c r="C21" s="25" t="str">
        <f>'Korpus mebel'!E38</f>
        <v>300×50×250 sm, eshiksiz, laminat — Namuna: kiyim xonasi</v>
      </c>
      <c r="D21" s="25" t="str">
        <f>'Korpus hisob'!E7&amp;" dona"</f>
        <v>1 dona</v>
      </c>
      <c r="E21" s="9">
        <f>'Korpus hisob'!E90</f>
        <v>1875000</v>
      </c>
      <c r="F21" s="9">
        <f>'Korpus hisob'!E91</f>
        <v>1875000</v>
      </c>
      <c r="G21" s="92">
        <f t="shared" si="2"/>
        <v>0</v>
      </c>
      <c r="H21" s="92" t="str">
        <f>IF(G21=1,COUNTIF(G$4:G21,1),"")</f>
        <v/>
      </c>
    </row>
    <row r="22" spans="1:8" x14ac:dyDescent="0.25">
      <c r="A22" s="25" t="s">
        <v>22</v>
      </c>
      <c r="B22" s="25" t="str">
        <f>IF('Korpus hisob'!F6="","Korpus mebel",'Korpus hisob'!F6)</f>
        <v>Korpus mebel</v>
      </c>
      <c r="C22" s="25" t="str">
        <f>'Korpus mebel'!F38</f>
        <v/>
      </c>
      <c r="D22" s="25" t="str">
        <f>'Korpus hisob'!F7&amp;" dona"</f>
        <v>0 dona</v>
      </c>
      <c r="E22" s="9">
        <f>'Korpus hisob'!F90</f>
        <v>0</v>
      </c>
      <c r="F22" s="9">
        <f>'Korpus hisob'!F91</f>
        <v>0</v>
      </c>
      <c r="G22" s="92">
        <f t="shared" si="2"/>
        <v>0</v>
      </c>
      <c r="H22" s="92" t="str">
        <f>IF(G22=1,COUNTIF(G$4:G22,1),"")</f>
        <v/>
      </c>
    </row>
    <row r="23" spans="1:8" x14ac:dyDescent="0.25">
      <c r="A23" s="25" t="s">
        <v>22</v>
      </c>
      <c r="B23" s="25" t="str">
        <f>IF('Korpus hisob'!G6="","Korpus mebel",'Korpus hisob'!G6)</f>
        <v>Korpus mebel</v>
      </c>
      <c r="C23" s="25" t="str">
        <f>'Korpus mebel'!G38</f>
        <v/>
      </c>
      <c r="D23" s="25" t="str">
        <f>'Korpus hisob'!G7&amp;" dona"</f>
        <v>0 dona</v>
      </c>
      <c r="E23" s="9">
        <f>'Korpus hisob'!G90</f>
        <v>0</v>
      </c>
      <c r="F23" s="9">
        <f>'Korpus hisob'!G91</f>
        <v>0</v>
      </c>
      <c r="G23" s="92">
        <f t="shared" si="2"/>
        <v>0</v>
      </c>
      <c r="H23" s="92" t="str">
        <f>IF(G23=1,COUNTIF(G$4:G23,1),"")</f>
        <v/>
      </c>
    </row>
    <row r="24" spans="1:8" x14ac:dyDescent="0.25">
      <c r="A24" s="25" t="s">
        <v>22</v>
      </c>
      <c r="B24" s="25" t="str">
        <f>IF('Korpus hisob'!H6="","Korpus mebel",'Korpus hisob'!H6)</f>
        <v>Korpus mebel</v>
      </c>
      <c r="C24" s="25" t="str">
        <f>'Korpus mebel'!H38</f>
        <v/>
      </c>
      <c r="D24" s="25" t="str">
        <f>'Korpus hisob'!H7&amp;" dona"</f>
        <v>0 dona</v>
      </c>
      <c r="E24" s="9">
        <f>'Korpus hisob'!H90</f>
        <v>0</v>
      </c>
      <c r="F24" s="9">
        <f>'Korpus hisob'!H91</f>
        <v>0</v>
      </c>
      <c r="G24" s="92">
        <f t="shared" si="2"/>
        <v>0</v>
      </c>
      <c r="H24" s="92" t="str">
        <f>IF(G24=1,COUNTIF(G$4:G24,1),"")</f>
        <v/>
      </c>
    </row>
    <row r="25" spans="1:8" x14ac:dyDescent="0.25">
      <c r="F25" s="16" t="s">
        <v>413</v>
      </c>
      <c r="G25" s="94">
        <f>SUM(G4:G24)</f>
        <v>9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9"/>
  <sheetViews>
    <sheetView zoomScale="90" zoomScaleNormal="9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58" customWidth="1"/>
    <col min="3" max="3" width="13" customWidth="1"/>
    <col min="4" max="4" width="9" customWidth="1"/>
    <col min="5" max="5" width="18" customWidth="1"/>
    <col min="6" max="6" width="44" customWidth="1"/>
  </cols>
  <sheetData>
    <row r="1" spans="1:6" ht="18" x14ac:dyDescent="0.25">
      <c r="A1" s="1" t="s">
        <v>414</v>
      </c>
    </row>
    <row r="2" spans="1:6" x14ac:dyDescent="0.25">
      <c r="A2" s="2" t="s">
        <v>415</v>
      </c>
    </row>
    <row r="4" spans="1:6" ht="36" customHeight="1" x14ac:dyDescent="0.25">
      <c r="A4" s="6" t="s">
        <v>189</v>
      </c>
      <c r="B4" s="6" t="s">
        <v>416</v>
      </c>
      <c r="C4" s="6" t="s">
        <v>43</v>
      </c>
      <c r="D4" s="6" t="s">
        <v>44</v>
      </c>
      <c r="E4" s="6" t="s">
        <v>417</v>
      </c>
      <c r="F4" s="6" t="s">
        <v>110</v>
      </c>
    </row>
    <row r="6" spans="1:6" ht="15.75" x14ac:dyDescent="0.25">
      <c r="A6" s="17" t="s">
        <v>418</v>
      </c>
    </row>
    <row r="7" spans="1:6" x14ac:dyDescent="0.25">
      <c r="A7" s="25" t="s">
        <v>419</v>
      </c>
      <c r="B7" s="29" t="s">
        <v>420</v>
      </c>
      <c r="C7" s="95">
        <v>11963</v>
      </c>
      <c r="D7" s="25" t="s">
        <v>155</v>
      </c>
      <c r="E7" s="28" t="s">
        <v>421</v>
      </c>
      <c r="F7" s="28" t="s">
        <v>422</v>
      </c>
    </row>
    <row r="8" spans="1:6" x14ac:dyDescent="0.25">
      <c r="A8" s="25" t="s">
        <v>419</v>
      </c>
      <c r="B8" s="29" t="s">
        <v>423</v>
      </c>
      <c r="C8" s="95">
        <v>11963</v>
      </c>
      <c r="D8" s="25" t="s">
        <v>155</v>
      </c>
      <c r="E8" s="28" t="s">
        <v>424</v>
      </c>
      <c r="F8" s="28" t="s">
        <v>425</v>
      </c>
    </row>
    <row r="9" spans="1:6" x14ac:dyDescent="0.25">
      <c r="A9" s="25" t="s">
        <v>426</v>
      </c>
      <c r="B9" s="29" t="s">
        <v>427</v>
      </c>
      <c r="C9" s="96">
        <v>0</v>
      </c>
      <c r="D9" s="25" t="s">
        <v>428</v>
      </c>
      <c r="E9" s="28" t="s">
        <v>429</v>
      </c>
      <c r="F9" s="28" t="s">
        <v>430</v>
      </c>
    </row>
    <row r="10" spans="1:6" x14ac:dyDescent="0.25">
      <c r="A10" s="25" t="s">
        <v>426</v>
      </c>
      <c r="B10" s="29" t="s">
        <v>431</v>
      </c>
      <c r="C10" s="96">
        <v>0</v>
      </c>
      <c r="D10" s="25" t="s">
        <v>428</v>
      </c>
      <c r="E10" s="28" t="s">
        <v>432</v>
      </c>
      <c r="F10" s="28" t="s">
        <v>433</v>
      </c>
    </row>
    <row r="11" spans="1:6" x14ac:dyDescent="0.25">
      <c r="A11" s="25" t="s">
        <v>426</v>
      </c>
      <c r="B11" s="29" t="s">
        <v>434</v>
      </c>
      <c r="C11" s="96">
        <v>0</v>
      </c>
      <c r="D11" s="25" t="s">
        <v>428</v>
      </c>
      <c r="E11" s="28" t="s">
        <v>435</v>
      </c>
      <c r="F11" s="28" t="s">
        <v>436</v>
      </c>
    </row>
    <row r="12" spans="1:6" x14ac:dyDescent="0.25">
      <c r="A12" s="25" t="s">
        <v>437</v>
      </c>
      <c r="B12" s="29" t="s">
        <v>438</v>
      </c>
      <c r="C12" s="95">
        <v>1000</v>
      </c>
      <c r="D12" s="25" t="s">
        <v>155</v>
      </c>
      <c r="E12" s="28" t="s">
        <v>439</v>
      </c>
      <c r="F12" s="28" t="s">
        <v>440</v>
      </c>
    </row>
    <row r="13" spans="1:6" x14ac:dyDescent="0.25">
      <c r="A13" s="25" t="s">
        <v>441</v>
      </c>
      <c r="B13" s="29" t="s">
        <v>442</v>
      </c>
      <c r="C13" s="97" t="s">
        <v>443</v>
      </c>
      <c r="D13" s="25"/>
      <c r="E13" s="28" t="s">
        <v>444</v>
      </c>
      <c r="F13" s="28" t="s">
        <v>445</v>
      </c>
    </row>
    <row r="14" spans="1:6" x14ac:dyDescent="0.25">
      <c r="A14" s="25" t="s">
        <v>441</v>
      </c>
      <c r="B14" s="29" t="s">
        <v>446</v>
      </c>
      <c r="C14" s="98"/>
      <c r="D14" s="25"/>
      <c r="E14" s="28" t="s">
        <v>447</v>
      </c>
      <c r="F14" s="28" t="s">
        <v>448</v>
      </c>
    </row>
    <row r="16" spans="1:6" ht="15.75" x14ac:dyDescent="0.25">
      <c r="A16" s="17" t="s">
        <v>449</v>
      </c>
    </row>
    <row r="17" spans="1:6" ht="25.5" x14ac:dyDescent="0.25">
      <c r="A17" s="25" t="s">
        <v>83</v>
      </c>
      <c r="B17" s="29" t="s">
        <v>450</v>
      </c>
      <c r="C17" s="99">
        <f>IFERROR(INDEX(Ustalar!$F$6:$F$55,MATCH(p_usta,Ustalar!$B$6:$B$55,0)),0)</f>
        <v>0</v>
      </c>
      <c r="D17" s="25" t="s">
        <v>428</v>
      </c>
      <c r="E17" s="28" t="s">
        <v>451</v>
      </c>
      <c r="F17" s="28" t="s">
        <v>452</v>
      </c>
    </row>
    <row r="18" spans="1:6" ht="25.5" x14ac:dyDescent="0.25">
      <c r="A18" s="25" t="s">
        <v>83</v>
      </c>
      <c r="B18" s="29" t="s">
        <v>453</v>
      </c>
      <c r="C18" s="99">
        <f>IFERROR(INDEX(Ustalar!$F$6:$F$105,MATCH(p_k_usta,Ustalar!$B$6:$B$105,0)),0)</f>
        <v>0</v>
      </c>
      <c r="D18" s="25" t="s">
        <v>428</v>
      </c>
      <c r="E18" s="28" t="s">
        <v>454</v>
      </c>
      <c r="F18" s="28" t="s">
        <v>455</v>
      </c>
    </row>
    <row r="20" spans="1:6" ht="15.75" x14ac:dyDescent="0.25">
      <c r="A20" s="17" t="s">
        <v>456</v>
      </c>
    </row>
    <row r="21" spans="1:6" x14ac:dyDescent="0.25">
      <c r="A21" s="25" t="s">
        <v>67</v>
      </c>
      <c r="B21" s="29" t="s">
        <v>457</v>
      </c>
      <c r="C21" s="72"/>
      <c r="D21" s="25" t="s">
        <v>155</v>
      </c>
      <c r="E21" s="28" t="s">
        <v>458</v>
      </c>
      <c r="F21" s="28" t="s">
        <v>459</v>
      </c>
    </row>
    <row r="22" spans="1:6" x14ac:dyDescent="0.25">
      <c r="A22" s="25" t="s">
        <v>67</v>
      </c>
      <c r="B22" s="29" t="s">
        <v>460</v>
      </c>
      <c r="C22" s="72"/>
      <c r="D22" s="25" t="s">
        <v>155</v>
      </c>
      <c r="E22" s="28" t="s">
        <v>461</v>
      </c>
      <c r="F22" s="28" t="s">
        <v>459</v>
      </c>
    </row>
    <row r="23" spans="1:6" x14ac:dyDescent="0.25">
      <c r="A23" s="25" t="s">
        <v>67</v>
      </c>
      <c r="B23" s="29" t="s">
        <v>462</v>
      </c>
      <c r="C23" s="72">
        <v>1200000</v>
      </c>
      <c r="D23" s="25" t="s">
        <v>155</v>
      </c>
      <c r="E23" s="28" t="s">
        <v>68</v>
      </c>
      <c r="F23" s="28" t="s">
        <v>459</v>
      </c>
    </row>
    <row r="24" spans="1:6" x14ac:dyDescent="0.25">
      <c r="A24" s="25" t="s">
        <v>67</v>
      </c>
      <c r="B24" s="29" t="s">
        <v>463</v>
      </c>
      <c r="C24" s="72"/>
      <c r="D24" s="25" t="s">
        <v>155</v>
      </c>
      <c r="E24" s="28" t="s">
        <v>464</v>
      </c>
      <c r="F24" s="28" t="s">
        <v>459</v>
      </c>
    </row>
    <row r="26" spans="1:6" ht="15.75" x14ac:dyDescent="0.25">
      <c r="A26" s="17" t="s">
        <v>465</v>
      </c>
    </row>
    <row r="27" spans="1:6" x14ac:dyDescent="0.25">
      <c r="A27" s="25" t="s">
        <v>466</v>
      </c>
      <c r="B27" s="29" t="s">
        <v>467</v>
      </c>
      <c r="C27" s="97">
        <v>16</v>
      </c>
      <c r="D27" s="25" t="s">
        <v>343</v>
      </c>
      <c r="E27" s="28" t="s">
        <v>468</v>
      </c>
      <c r="F27" s="28" t="s">
        <v>469</v>
      </c>
    </row>
    <row r="28" spans="1:6" x14ac:dyDescent="0.25">
      <c r="A28" s="25" t="s">
        <v>466</v>
      </c>
      <c r="B28" s="29" t="s">
        <v>470</v>
      </c>
      <c r="C28" s="97">
        <v>3</v>
      </c>
      <c r="D28" s="25" t="s">
        <v>343</v>
      </c>
      <c r="E28" s="28" t="s">
        <v>471</v>
      </c>
      <c r="F28" s="28" t="s">
        <v>469</v>
      </c>
    </row>
    <row r="29" spans="1:6" x14ac:dyDescent="0.25">
      <c r="A29" s="25" t="s">
        <v>466</v>
      </c>
      <c r="B29" s="29" t="s">
        <v>472</v>
      </c>
      <c r="C29" s="97">
        <v>80</v>
      </c>
      <c r="D29" s="25" t="s">
        <v>343</v>
      </c>
      <c r="E29" s="28" t="s">
        <v>473</v>
      </c>
      <c r="F29" s="28" t="s">
        <v>469</v>
      </c>
    </row>
    <row r="30" spans="1:6" ht="25.5" x14ac:dyDescent="0.25">
      <c r="A30" s="25" t="s">
        <v>466</v>
      </c>
      <c r="B30" s="29" t="s">
        <v>474</v>
      </c>
      <c r="C30" s="97">
        <v>26</v>
      </c>
      <c r="D30" s="25" t="s">
        <v>343</v>
      </c>
      <c r="E30" s="28" t="s">
        <v>475</v>
      </c>
      <c r="F30" s="28" t="s">
        <v>469</v>
      </c>
    </row>
    <row r="31" spans="1:6" x14ac:dyDescent="0.25">
      <c r="A31" s="25" t="s">
        <v>466</v>
      </c>
      <c r="B31" s="29" t="s">
        <v>476</v>
      </c>
      <c r="C31" s="97">
        <v>60</v>
      </c>
      <c r="D31" s="25" t="s">
        <v>343</v>
      </c>
      <c r="E31" s="28" t="s">
        <v>477</v>
      </c>
      <c r="F31" s="28" t="s">
        <v>469</v>
      </c>
    </row>
    <row r="32" spans="1:6" x14ac:dyDescent="0.25">
      <c r="A32" s="25" t="s">
        <v>466</v>
      </c>
      <c r="B32" s="29" t="s">
        <v>478</v>
      </c>
      <c r="C32" s="97">
        <v>30</v>
      </c>
      <c r="D32" s="25" t="s">
        <v>343</v>
      </c>
      <c r="E32" s="28" t="s">
        <v>479</v>
      </c>
      <c r="F32" s="28" t="s">
        <v>469</v>
      </c>
    </row>
    <row r="33" spans="1:6" x14ac:dyDescent="0.25">
      <c r="A33" s="25" t="s">
        <v>466</v>
      </c>
      <c r="B33" s="29" t="s">
        <v>480</v>
      </c>
      <c r="C33" s="97">
        <v>20</v>
      </c>
      <c r="D33" s="25" t="s">
        <v>343</v>
      </c>
      <c r="E33" s="28" t="s">
        <v>481</v>
      </c>
      <c r="F33" s="28" t="s">
        <v>469</v>
      </c>
    </row>
    <row r="34" spans="1:6" x14ac:dyDescent="0.25">
      <c r="A34" s="25" t="s">
        <v>466</v>
      </c>
      <c r="B34" s="29" t="s">
        <v>482</v>
      </c>
      <c r="C34" s="97">
        <v>4</v>
      </c>
      <c r="D34" s="25" t="s">
        <v>343</v>
      </c>
      <c r="E34" s="28" t="s">
        <v>483</v>
      </c>
      <c r="F34" s="28" t="s">
        <v>469</v>
      </c>
    </row>
    <row r="35" spans="1:6" x14ac:dyDescent="0.25">
      <c r="A35" s="25" t="s">
        <v>466</v>
      </c>
      <c r="B35" s="29" t="s">
        <v>484</v>
      </c>
      <c r="C35" s="97">
        <v>2800</v>
      </c>
      <c r="D35" s="25" t="s">
        <v>343</v>
      </c>
      <c r="E35" s="28" t="s">
        <v>485</v>
      </c>
      <c r="F35" s="28" t="s">
        <v>469</v>
      </c>
    </row>
    <row r="36" spans="1:6" x14ac:dyDescent="0.25">
      <c r="A36" s="25" t="s">
        <v>466</v>
      </c>
      <c r="B36" s="29" t="s">
        <v>486</v>
      </c>
      <c r="C36" s="97">
        <v>2070</v>
      </c>
      <c r="D36" s="25" t="s">
        <v>343</v>
      </c>
      <c r="E36" s="28" t="s">
        <v>487</v>
      </c>
      <c r="F36" s="28" t="s">
        <v>469</v>
      </c>
    </row>
    <row r="37" spans="1:6" x14ac:dyDescent="0.25">
      <c r="A37" s="25" t="s">
        <v>466</v>
      </c>
      <c r="B37" s="29" t="s">
        <v>488</v>
      </c>
      <c r="C37" s="97">
        <v>2745</v>
      </c>
      <c r="D37" s="25" t="s">
        <v>343</v>
      </c>
      <c r="E37" s="28" t="s">
        <v>489</v>
      </c>
      <c r="F37" s="28" t="s">
        <v>469</v>
      </c>
    </row>
    <row r="38" spans="1:6" x14ac:dyDescent="0.25">
      <c r="A38" s="25" t="s">
        <v>466</v>
      </c>
      <c r="B38" s="29" t="s">
        <v>490</v>
      </c>
      <c r="C38" s="97">
        <v>1700</v>
      </c>
      <c r="D38" s="25" t="s">
        <v>343</v>
      </c>
      <c r="E38" s="28" t="s">
        <v>491</v>
      </c>
      <c r="F38" s="28" t="s">
        <v>469</v>
      </c>
    </row>
    <row r="39" spans="1:6" x14ac:dyDescent="0.25">
      <c r="A39" s="25" t="s">
        <v>466</v>
      </c>
      <c r="B39" s="29" t="s">
        <v>492</v>
      </c>
      <c r="C39" s="100">
        <v>0.5</v>
      </c>
      <c r="D39" s="25" t="s">
        <v>493</v>
      </c>
      <c r="E39" s="28" t="s">
        <v>494</v>
      </c>
      <c r="F39" s="3" t="s">
        <v>495</v>
      </c>
    </row>
    <row r="40" spans="1:6" x14ac:dyDescent="0.25">
      <c r="A40" s="25" t="s">
        <v>46</v>
      </c>
      <c r="B40" s="29" t="s">
        <v>47</v>
      </c>
      <c r="C40" s="101">
        <f>p_shkaf_soni</f>
        <v>1</v>
      </c>
      <c r="D40" s="25" t="s">
        <v>48</v>
      </c>
      <c r="E40" s="28" t="s">
        <v>496</v>
      </c>
      <c r="F40" s="28" t="s">
        <v>497</v>
      </c>
    </row>
    <row r="41" spans="1:6" x14ac:dyDescent="0.25">
      <c r="A41" s="25" t="s">
        <v>46</v>
      </c>
      <c r="B41" s="29" t="s">
        <v>498</v>
      </c>
      <c r="C41" s="101">
        <f>p_shkaf_H*10</f>
        <v>2200</v>
      </c>
      <c r="D41" s="25" t="s">
        <v>343</v>
      </c>
      <c r="E41" s="28" t="s">
        <v>499</v>
      </c>
      <c r="F41" s="28" t="s">
        <v>497</v>
      </c>
    </row>
    <row r="42" spans="1:6" x14ac:dyDescent="0.25">
      <c r="A42" s="25" t="s">
        <v>46</v>
      </c>
      <c r="B42" s="29" t="s">
        <v>500</v>
      </c>
      <c r="C42" s="101">
        <f>p_shkaf_D*10</f>
        <v>600</v>
      </c>
      <c r="D42" s="25" t="s">
        <v>343</v>
      </c>
      <c r="E42" s="28" t="s">
        <v>501</v>
      </c>
      <c r="F42" s="28" t="s">
        <v>497</v>
      </c>
    </row>
    <row r="43" spans="1:6" x14ac:dyDescent="0.25">
      <c r="A43" s="25" t="s">
        <v>46</v>
      </c>
      <c r="B43" s="29" t="s">
        <v>502</v>
      </c>
      <c r="C43" s="101">
        <f>p_shkaf_W*10</f>
        <v>2400</v>
      </c>
      <c r="D43" s="25" t="s">
        <v>343</v>
      </c>
      <c r="E43" s="28" t="s">
        <v>503</v>
      </c>
      <c r="F43" s="28" t="s">
        <v>497</v>
      </c>
    </row>
    <row r="44" spans="1:6" x14ac:dyDescent="0.25">
      <c r="A44" s="25" t="s">
        <v>46</v>
      </c>
      <c r="B44" s="29" t="s">
        <v>504</v>
      </c>
      <c r="C44" s="101">
        <f>p_shkaf_eshik</f>
        <v>6</v>
      </c>
      <c r="D44" s="25" t="s">
        <v>48</v>
      </c>
      <c r="E44" s="28" t="s">
        <v>505</v>
      </c>
      <c r="F44" s="28" t="s">
        <v>497</v>
      </c>
    </row>
    <row r="45" spans="1:6" x14ac:dyDescent="0.25">
      <c r="A45" s="25" t="s">
        <v>46</v>
      </c>
      <c r="B45" s="29" t="s">
        <v>54</v>
      </c>
      <c r="C45" s="101">
        <f>p_shkaf_oyna</f>
        <v>2</v>
      </c>
      <c r="D45" s="25" t="s">
        <v>48</v>
      </c>
      <c r="E45" s="28" t="s">
        <v>506</v>
      </c>
      <c r="F45" s="28" t="s">
        <v>497</v>
      </c>
    </row>
    <row r="46" spans="1:6" x14ac:dyDescent="0.25">
      <c r="A46" s="25" t="s">
        <v>46</v>
      </c>
      <c r="B46" s="29" t="s">
        <v>507</v>
      </c>
      <c r="C46" s="98">
        <v>4</v>
      </c>
      <c r="D46" s="25" t="s">
        <v>48</v>
      </c>
      <c r="E46" s="28" t="s">
        <v>508</v>
      </c>
      <c r="F46" s="3" t="s">
        <v>495</v>
      </c>
    </row>
    <row r="47" spans="1:6" x14ac:dyDescent="0.25">
      <c r="A47" s="25" t="s">
        <v>46</v>
      </c>
      <c r="B47" s="29" t="s">
        <v>509</v>
      </c>
      <c r="C47" s="98">
        <v>1600</v>
      </c>
      <c r="D47" s="25" t="s">
        <v>343</v>
      </c>
      <c r="E47" s="28" t="s">
        <v>510</v>
      </c>
      <c r="F47" s="3" t="s">
        <v>495</v>
      </c>
    </row>
    <row r="48" spans="1:6" x14ac:dyDescent="0.25">
      <c r="A48" s="25" t="s">
        <v>46</v>
      </c>
      <c r="B48" s="29" t="s">
        <v>511</v>
      </c>
      <c r="C48" s="98">
        <v>500</v>
      </c>
      <c r="D48" s="25" t="s">
        <v>343</v>
      </c>
      <c r="E48" s="28" t="s">
        <v>512</v>
      </c>
      <c r="F48" s="3" t="s">
        <v>495</v>
      </c>
    </row>
    <row r="49" spans="1:6" x14ac:dyDescent="0.25">
      <c r="A49" s="25" t="s">
        <v>58</v>
      </c>
      <c r="B49" s="29" t="s">
        <v>59</v>
      </c>
      <c r="C49" s="101">
        <f>p_krovat_soni</f>
        <v>1</v>
      </c>
      <c r="D49" s="25" t="s">
        <v>48</v>
      </c>
      <c r="E49" s="28" t="s">
        <v>513</v>
      </c>
      <c r="F49" s="28" t="s">
        <v>497</v>
      </c>
    </row>
    <row r="50" spans="1:6" x14ac:dyDescent="0.25">
      <c r="A50" s="25" t="s">
        <v>58</v>
      </c>
      <c r="B50" s="29" t="s">
        <v>514</v>
      </c>
      <c r="C50" s="101">
        <f>p_krovat_L*10</f>
        <v>2200</v>
      </c>
      <c r="D50" s="25" t="s">
        <v>343</v>
      </c>
      <c r="E50" s="28" t="s">
        <v>515</v>
      </c>
      <c r="F50" s="28" t="s">
        <v>497</v>
      </c>
    </row>
    <row r="51" spans="1:6" x14ac:dyDescent="0.25">
      <c r="A51" s="25" t="s">
        <v>58</v>
      </c>
      <c r="B51" s="29" t="s">
        <v>516</v>
      </c>
      <c r="C51" s="101">
        <f>p_krovat_W*10</f>
        <v>1700</v>
      </c>
      <c r="D51" s="25" t="s">
        <v>343</v>
      </c>
      <c r="E51" s="28" t="s">
        <v>517</v>
      </c>
      <c r="F51" s="28" t="s">
        <v>497</v>
      </c>
    </row>
    <row r="52" spans="1:6" x14ac:dyDescent="0.25">
      <c r="A52" s="25" t="s">
        <v>58</v>
      </c>
      <c r="B52" s="29" t="s">
        <v>62</v>
      </c>
      <c r="C52" s="101">
        <f>p_krovat_H*10</f>
        <v>450</v>
      </c>
      <c r="D52" s="25" t="s">
        <v>343</v>
      </c>
      <c r="E52" s="28" t="s">
        <v>518</v>
      </c>
      <c r="F52" s="28" t="s">
        <v>497</v>
      </c>
    </row>
    <row r="53" spans="1:6" x14ac:dyDescent="0.25">
      <c r="A53" s="25" t="s">
        <v>58</v>
      </c>
      <c r="B53" s="29" t="s">
        <v>519</v>
      </c>
      <c r="C53" s="101">
        <f>p_krovat_spinka*10</f>
        <v>1500</v>
      </c>
      <c r="D53" s="25" t="s">
        <v>343</v>
      </c>
      <c r="E53" s="28" t="s">
        <v>520</v>
      </c>
      <c r="F53" s="28" t="s">
        <v>497</v>
      </c>
    </row>
    <row r="54" spans="1:6" x14ac:dyDescent="0.25">
      <c r="A54" s="25" t="s">
        <v>58</v>
      </c>
      <c r="B54" s="29" t="s">
        <v>521</v>
      </c>
      <c r="C54" s="101">
        <f>IF(p_krovat_figura="Ha",1,0)</f>
        <v>1</v>
      </c>
      <c r="D54" s="25" t="s">
        <v>522</v>
      </c>
      <c r="E54" s="28" t="s">
        <v>523</v>
      </c>
      <c r="F54" s="28" t="s">
        <v>497</v>
      </c>
    </row>
    <row r="55" spans="1:6" x14ac:dyDescent="0.25">
      <c r="A55" s="25" t="s">
        <v>58</v>
      </c>
      <c r="B55" s="29" t="s">
        <v>524</v>
      </c>
      <c r="C55" s="101">
        <f>IF(p_kapot="Nasosli",1,0)</f>
        <v>0</v>
      </c>
      <c r="D55" s="25" t="s">
        <v>522</v>
      </c>
      <c r="E55" s="28" t="s">
        <v>525</v>
      </c>
      <c r="F55" s="28" t="s">
        <v>497</v>
      </c>
    </row>
    <row r="56" spans="1:6" x14ac:dyDescent="0.25">
      <c r="A56" s="25" t="s">
        <v>58</v>
      </c>
      <c r="B56" s="29" t="s">
        <v>526</v>
      </c>
      <c r="C56" s="98">
        <v>300</v>
      </c>
      <c r="D56" s="25" t="s">
        <v>343</v>
      </c>
      <c r="E56" s="28" t="s">
        <v>527</v>
      </c>
      <c r="F56" s="3" t="s">
        <v>495</v>
      </c>
    </row>
    <row r="57" spans="1:6" x14ac:dyDescent="0.25">
      <c r="A57" s="25" t="s">
        <v>58</v>
      </c>
      <c r="B57" s="29" t="s">
        <v>528</v>
      </c>
      <c r="C57" s="98">
        <v>150</v>
      </c>
      <c r="D57" s="25" t="s">
        <v>343</v>
      </c>
      <c r="E57" s="28" t="s">
        <v>529</v>
      </c>
      <c r="F57" s="3" t="s">
        <v>495</v>
      </c>
    </row>
    <row r="58" spans="1:6" x14ac:dyDescent="0.25">
      <c r="A58" s="25" t="s">
        <v>58</v>
      </c>
      <c r="B58" s="29" t="s">
        <v>530</v>
      </c>
      <c r="C58" s="98">
        <v>1600</v>
      </c>
      <c r="D58" s="25" t="s">
        <v>343</v>
      </c>
      <c r="E58" s="28" t="s">
        <v>531</v>
      </c>
      <c r="F58" s="3" t="s">
        <v>495</v>
      </c>
    </row>
    <row r="59" spans="1:6" x14ac:dyDescent="0.25">
      <c r="A59" s="25" t="s">
        <v>58</v>
      </c>
      <c r="B59" s="29" t="s">
        <v>532</v>
      </c>
      <c r="C59" s="98">
        <v>600</v>
      </c>
      <c r="D59" s="25" t="s">
        <v>343</v>
      </c>
      <c r="E59" s="28" t="s">
        <v>533</v>
      </c>
      <c r="F59" s="3" t="s">
        <v>495</v>
      </c>
    </row>
    <row r="60" spans="1:6" x14ac:dyDescent="0.25">
      <c r="A60" s="25" t="s">
        <v>58</v>
      </c>
      <c r="B60" s="29" t="s">
        <v>534</v>
      </c>
      <c r="C60" s="98">
        <v>1</v>
      </c>
      <c r="D60" s="25" t="s">
        <v>48</v>
      </c>
      <c r="E60" s="28" t="s">
        <v>535</v>
      </c>
      <c r="F60" s="3" t="s">
        <v>495</v>
      </c>
    </row>
    <row r="61" spans="1:6" x14ac:dyDescent="0.25">
      <c r="A61" s="25" t="s">
        <v>58</v>
      </c>
      <c r="B61" s="29" t="s">
        <v>536</v>
      </c>
      <c r="C61" s="100">
        <v>1.5</v>
      </c>
      <c r="D61" s="25" t="s">
        <v>537</v>
      </c>
      <c r="E61" s="28" t="s">
        <v>538</v>
      </c>
      <c r="F61" s="3" t="s">
        <v>495</v>
      </c>
    </row>
    <row r="62" spans="1:6" x14ac:dyDescent="0.25">
      <c r="A62" s="25" t="s">
        <v>74</v>
      </c>
      <c r="B62" s="29" t="s">
        <v>539</v>
      </c>
      <c r="C62" s="101">
        <f>p_tumba_soni</f>
        <v>1</v>
      </c>
      <c r="D62" s="25" t="s">
        <v>48</v>
      </c>
      <c r="E62" s="28" t="s">
        <v>540</v>
      </c>
      <c r="F62" s="28" t="s">
        <v>497</v>
      </c>
    </row>
    <row r="63" spans="1:6" x14ac:dyDescent="0.25">
      <c r="A63" s="25" t="s">
        <v>74</v>
      </c>
      <c r="B63" s="29" t="s">
        <v>541</v>
      </c>
      <c r="C63" s="97">
        <v>500</v>
      </c>
      <c r="D63" s="25" t="s">
        <v>343</v>
      </c>
      <c r="E63" s="28" t="s">
        <v>542</v>
      </c>
      <c r="F63" s="28" t="s">
        <v>469</v>
      </c>
    </row>
    <row r="64" spans="1:6" x14ac:dyDescent="0.25">
      <c r="A64" s="25" t="s">
        <v>74</v>
      </c>
      <c r="B64" s="29" t="s">
        <v>543</v>
      </c>
      <c r="C64" s="97">
        <v>400</v>
      </c>
      <c r="D64" s="25" t="s">
        <v>343</v>
      </c>
      <c r="E64" s="28" t="s">
        <v>544</v>
      </c>
      <c r="F64" s="28" t="s">
        <v>469</v>
      </c>
    </row>
    <row r="65" spans="1:6" x14ac:dyDescent="0.25">
      <c r="A65" s="25" t="s">
        <v>74</v>
      </c>
      <c r="B65" s="29" t="s">
        <v>545</v>
      </c>
      <c r="C65" s="97">
        <v>600</v>
      </c>
      <c r="D65" s="25" t="s">
        <v>343</v>
      </c>
      <c r="E65" s="28" t="s">
        <v>546</v>
      </c>
      <c r="F65" s="28" t="s">
        <v>469</v>
      </c>
    </row>
    <row r="66" spans="1:6" x14ac:dyDescent="0.25">
      <c r="A66" s="25" t="s">
        <v>74</v>
      </c>
      <c r="B66" s="29" t="s">
        <v>547</v>
      </c>
      <c r="C66" s="98">
        <v>2</v>
      </c>
      <c r="D66" s="25" t="s">
        <v>48</v>
      </c>
      <c r="E66" s="28" t="s">
        <v>548</v>
      </c>
      <c r="F66" s="3" t="s">
        <v>495</v>
      </c>
    </row>
    <row r="67" spans="1:6" x14ac:dyDescent="0.25">
      <c r="A67" s="25" t="s">
        <v>69</v>
      </c>
      <c r="B67" s="29" t="s">
        <v>70</v>
      </c>
      <c r="C67" s="101">
        <f>p_trimo_soni</f>
        <v>1</v>
      </c>
      <c r="D67" s="25" t="s">
        <v>48</v>
      </c>
      <c r="E67" s="28" t="s">
        <v>549</v>
      </c>
      <c r="F67" s="28" t="s">
        <v>497</v>
      </c>
    </row>
    <row r="68" spans="1:6" x14ac:dyDescent="0.25">
      <c r="A68" s="25" t="s">
        <v>69</v>
      </c>
      <c r="B68" s="29" t="s">
        <v>550</v>
      </c>
      <c r="C68" s="101">
        <f>p_trimo_W*10</f>
        <v>1600</v>
      </c>
      <c r="D68" s="25" t="s">
        <v>343</v>
      </c>
      <c r="E68" s="28" t="s">
        <v>551</v>
      </c>
      <c r="F68" s="28" t="s">
        <v>497</v>
      </c>
    </row>
    <row r="69" spans="1:6" x14ac:dyDescent="0.25">
      <c r="A69" s="25" t="s">
        <v>69</v>
      </c>
      <c r="B69" s="29" t="s">
        <v>552</v>
      </c>
      <c r="C69" s="101">
        <f>p_trimo_D*10</f>
        <v>450</v>
      </c>
      <c r="D69" s="25" t="s">
        <v>343</v>
      </c>
      <c r="E69" s="28" t="s">
        <v>553</v>
      </c>
      <c r="F69" s="28" t="s">
        <v>497</v>
      </c>
    </row>
    <row r="70" spans="1:6" x14ac:dyDescent="0.25">
      <c r="A70" s="25" t="s">
        <v>69</v>
      </c>
      <c r="B70" s="29" t="s">
        <v>554</v>
      </c>
      <c r="C70" s="101">
        <f>p_trimo_H*10</f>
        <v>830</v>
      </c>
      <c r="D70" s="25" t="s">
        <v>343</v>
      </c>
      <c r="E70" s="28" t="s">
        <v>555</v>
      </c>
      <c r="F70" s="28" t="s">
        <v>497</v>
      </c>
    </row>
    <row r="71" spans="1:6" x14ac:dyDescent="0.25">
      <c r="A71" s="25" t="s">
        <v>69</v>
      </c>
      <c r="B71" s="29" t="s">
        <v>556</v>
      </c>
      <c r="C71" s="98">
        <v>3</v>
      </c>
      <c r="D71" s="25" t="s">
        <v>48</v>
      </c>
      <c r="E71" s="28" t="s">
        <v>557</v>
      </c>
      <c r="F71" s="3" t="s">
        <v>495</v>
      </c>
    </row>
    <row r="72" spans="1:6" x14ac:dyDescent="0.25">
      <c r="A72" s="25" t="s">
        <v>77</v>
      </c>
      <c r="B72" s="29" t="s">
        <v>78</v>
      </c>
      <c r="C72" s="101">
        <f>p_chest_soni</f>
        <v>1</v>
      </c>
      <c r="D72" s="25" t="s">
        <v>48</v>
      </c>
      <c r="E72" s="28" t="s">
        <v>558</v>
      </c>
      <c r="F72" s="28" t="s">
        <v>497</v>
      </c>
    </row>
    <row r="73" spans="1:6" x14ac:dyDescent="0.25">
      <c r="A73" s="25" t="s">
        <v>77</v>
      </c>
      <c r="B73" s="29" t="s">
        <v>559</v>
      </c>
      <c r="C73" s="97">
        <v>800</v>
      </c>
      <c r="D73" s="25" t="s">
        <v>343</v>
      </c>
      <c r="E73" s="28" t="s">
        <v>560</v>
      </c>
      <c r="F73" s="28" t="s">
        <v>469</v>
      </c>
    </row>
    <row r="74" spans="1:6" x14ac:dyDescent="0.25">
      <c r="A74" s="25" t="s">
        <v>77</v>
      </c>
      <c r="B74" s="29" t="s">
        <v>561</v>
      </c>
      <c r="C74" s="97">
        <v>500</v>
      </c>
      <c r="D74" s="25" t="s">
        <v>343</v>
      </c>
      <c r="E74" s="28" t="s">
        <v>562</v>
      </c>
      <c r="F74" s="28" t="s">
        <v>469</v>
      </c>
    </row>
    <row r="75" spans="1:6" x14ac:dyDescent="0.25">
      <c r="A75" s="25" t="s">
        <v>77</v>
      </c>
      <c r="B75" s="29" t="s">
        <v>563</v>
      </c>
      <c r="C75" s="97">
        <v>1000</v>
      </c>
      <c r="D75" s="25" t="s">
        <v>343</v>
      </c>
      <c r="E75" s="28" t="s">
        <v>564</v>
      </c>
      <c r="F75" s="28" t="s">
        <v>469</v>
      </c>
    </row>
    <row r="76" spans="1:6" x14ac:dyDescent="0.25">
      <c r="A76" s="25" t="s">
        <v>77</v>
      </c>
      <c r="B76" s="29" t="s">
        <v>565</v>
      </c>
      <c r="C76" s="98">
        <v>4</v>
      </c>
      <c r="D76" s="25" t="s">
        <v>48</v>
      </c>
      <c r="E76" s="28" t="s">
        <v>566</v>
      </c>
      <c r="F76" s="3" t="s">
        <v>495</v>
      </c>
    </row>
    <row r="77" spans="1:6" x14ac:dyDescent="0.25">
      <c r="A77" s="25" t="s">
        <v>79</v>
      </c>
      <c r="B77" s="29" t="s">
        <v>80</v>
      </c>
      <c r="C77" s="101">
        <f>p_pufik_soni</f>
        <v>1</v>
      </c>
      <c r="D77" s="25" t="s">
        <v>48</v>
      </c>
      <c r="E77" s="28" t="s">
        <v>567</v>
      </c>
      <c r="F77" s="28" t="s">
        <v>497</v>
      </c>
    </row>
    <row r="78" spans="1:6" x14ac:dyDescent="0.25">
      <c r="A78" s="25" t="s">
        <v>79</v>
      </c>
      <c r="B78" s="29" t="s">
        <v>568</v>
      </c>
      <c r="C78" s="98">
        <v>400</v>
      </c>
      <c r="D78" s="25" t="s">
        <v>343</v>
      </c>
      <c r="E78" s="28" t="s">
        <v>569</v>
      </c>
      <c r="F78" s="3" t="s">
        <v>495</v>
      </c>
    </row>
    <row r="79" spans="1:6" x14ac:dyDescent="0.25">
      <c r="A79" s="25" t="s">
        <v>79</v>
      </c>
      <c r="B79" s="29" t="s">
        <v>570</v>
      </c>
      <c r="C79" s="98">
        <v>450</v>
      </c>
      <c r="D79" s="25" t="s">
        <v>343</v>
      </c>
      <c r="E79" s="28" t="s">
        <v>571</v>
      </c>
      <c r="F79" s="3" t="s">
        <v>495</v>
      </c>
    </row>
    <row r="80" spans="1:6" x14ac:dyDescent="0.25">
      <c r="A80" s="25" t="s">
        <v>79</v>
      </c>
      <c r="B80" s="29" t="s">
        <v>572</v>
      </c>
      <c r="C80" s="98">
        <v>50</v>
      </c>
      <c r="D80" s="25" t="s">
        <v>343</v>
      </c>
      <c r="E80" s="28" t="s">
        <v>573</v>
      </c>
      <c r="F80" s="3" t="s">
        <v>495</v>
      </c>
    </row>
    <row r="81" spans="1:6" x14ac:dyDescent="0.25">
      <c r="A81" s="25" t="s">
        <v>79</v>
      </c>
      <c r="B81" s="29" t="s">
        <v>574</v>
      </c>
      <c r="C81" s="98">
        <v>50</v>
      </c>
      <c r="D81" s="25" t="s">
        <v>343</v>
      </c>
      <c r="E81" s="28" t="s">
        <v>575</v>
      </c>
      <c r="F81" s="3" t="s">
        <v>495</v>
      </c>
    </row>
    <row r="82" spans="1:6" x14ac:dyDescent="0.25">
      <c r="A82" s="25" t="s">
        <v>81</v>
      </c>
      <c r="B82" s="29" t="s">
        <v>82</v>
      </c>
      <c r="C82" s="101">
        <f>p_oyna_soni</f>
        <v>1</v>
      </c>
      <c r="D82" s="25" t="s">
        <v>48</v>
      </c>
      <c r="E82" s="28" t="s">
        <v>576</v>
      </c>
      <c r="F82" s="28" t="s">
        <v>497</v>
      </c>
    </row>
    <row r="83" spans="1:6" x14ac:dyDescent="0.25">
      <c r="A83" s="25" t="s">
        <v>81</v>
      </c>
      <c r="B83" s="29" t="s">
        <v>577</v>
      </c>
      <c r="C83" s="98">
        <v>1600</v>
      </c>
      <c r="D83" s="25" t="s">
        <v>343</v>
      </c>
      <c r="E83" s="28" t="s">
        <v>578</v>
      </c>
      <c r="F83" s="3" t="s">
        <v>495</v>
      </c>
    </row>
    <row r="84" spans="1:6" x14ac:dyDescent="0.25">
      <c r="A84" s="25" t="s">
        <v>81</v>
      </c>
      <c r="B84" s="29" t="s">
        <v>579</v>
      </c>
      <c r="C84" s="98">
        <v>500</v>
      </c>
      <c r="D84" s="25" t="s">
        <v>343</v>
      </c>
      <c r="E84" s="28" t="s">
        <v>580</v>
      </c>
      <c r="F84" s="3" t="s">
        <v>495</v>
      </c>
    </row>
    <row r="85" spans="1:6" x14ac:dyDescent="0.25">
      <c r="A85" s="25" t="s">
        <v>81</v>
      </c>
      <c r="B85" s="29" t="s">
        <v>581</v>
      </c>
      <c r="C85" s="98">
        <v>50</v>
      </c>
      <c r="D85" s="25" t="s">
        <v>343</v>
      </c>
      <c r="E85" s="28" t="s">
        <v>582</v>
      </c>
      <c r="F85" s="3" t="s">
        <v>495</v>
      </c>
    </row>
    <row r="86" spans="1:6" x14ac:dyDescent="0.25">
      <c r="A86" s="25" t="s">
        <v>81</v>
      </c>
      <c r="B86" s="29" t="s">
        <v>583</v>
      </c>
      <c r="C86" s="98">
        <v>300</v>
      </c>
      <c r="D86" s="25" t="s">
        <v>343</v>
      </c>
      <c r="E86" s="28" t="s">
        <v>584</v>
      </c>
      <c r="F86" s="3" t="s">
        <v>495</v>
      </c>
    </row>
    <row r="87" spans="1:6" x14ac:dyDescent="0.25">
      <c r="A87" s="25" t="s">
        <v>585</v>
      </c>
      <c r="B87" s="29" t="s">
        <v>586</v>
      </c>
      <c r="C87" s="97">
        <v>2800</v>
      </c>
      <c r="D87" s="25" t="s">
        <v>343</v>
      </c>
      <c r="E87" s="28" t="s">
        <v>587</v>
      </c>
      <c r="F87" s="28" t="s">
        <v>469</v>
      </c>
    </row>
    <row r="88" spans="1:6" x14ac:dyDescent="0.25">
      <c r="A88" s="25" t="s">
        <v>585</v>
      </c>
      <c r="B88" s="29" t="s">
        <v>588</v>
      </c>
      <c r="C88" s="97">
        <v>2070</v>
      </c>
      <c r="D88" s="25" t="s">
        <v>343</v>
      </c>
      <c r="E88" s="28" t="s">
        <v>589</v>
      </c>
      <c r="F88" s="28" t="s">
        <v>469</v>
      </c>
    </row>
    <row r="89" spans="1:6" ht="25.5" x14ac:dyDescent="0.25">
      <c r="A89" s="25" t="s">
        <v>585</v>
      </c>
      <c r="B89" s="29" t="s">
        <v>590</v>
      </c>
      <c r="C89" s="98">
        <v>2</v>
      </c>
      <c r="D89" s="25" t="s">
        <v>591</v>
      </c>
      <c r="E89" s="28" t="s">
        <v>592</v>
      </c>
      <c r="F89" s="3" t="s">
        <v>495</v>
      </c>
    </row>
    <row r="90" spans="1:6" x14ac:dyDescent="0.25">
      <c r="A90" s="25" t="s">
        <v>585</v>
      </c>
      <c r="B90" s="29" t="s">
        <v>593</v>
      </c>
      <c r="C90" s="98">
        <v>2</v>
      </c>
      <c r="D90" s="25" t="s">
        <v>591</v>
      </c>
      <c r="E90" s="28" t="s">
        <v>594</v>
      </c>
      <c r="F90" s="3" t="s">
        <v>495</v>
      </c>
    </row>
    <row r="91" spans="1:6" x14ac:dyDescent="0.25">
      <c r="A91" s="25" t="s">
        <v>585</v>
      </c>
      <c r="B91" s="29" t="s">
        <v>595</v>
      </c>
      <c r="C91" s="100">
        <v>0.35</v>
      </c>
      <c r="D91" s="25" t="s">
        <v>596</v>
      </c>
      <c r="E91" s="28" t="s">
        <v>597</v>
      </c>
      <c r="F91" s="3" t="s">
        <v>495</v>
      </c>
    </row>
    <row r="92" spans="1:6" x14ac:dyDescent="0.25">
      <c r="A92" s="25" t="s">
        <v>585</v>
      </c>
      <c r="B92" s="29" t="s">
        <v>598</v>
      </c>
      <c r="C92" s="100">
        <v>0.3</v>
      </c>
      <c r="D92" s="25" t="s">
        <v>596</v>
      </c>
      <c r="E92" s="28" t="s">
        <v>599</v>
      </c>
      <c r="F92" s="3" t="s">
        <v>495</v>
      </c>
    </row>
    <row r="93" spans="1:6" x14ac:dyDescent="0.25">
      <c r="A93" s="25" t="s">
        <v>585</v>
      </c>
      <c r="B93" s="29" t="s">
        <v>600</v>
      </c>
      <c r="C93" s="100">
        <v>0.2</v>
      </c>
      <c r="D93" s="25" t="s">
        <v>596</v>
      </c>
      <c r="E93" s="28" t="s">
        <v>601</v>
      </c>
      <c r="F93" s="3" t="s">
        <v>495</v>
      </c>
    </row>
    <row r="94" spans="1:6" x14ac:dyDescent="0.25">
      <c r="A94" s="25" t="s">
        <v>585</v>
      </c>
      <c r="B94" s="29" t="s">
        <v>602</v>
      </c>
      <c r="C94" s="100">
        <v>0.3</v>
      </c>
      <c r="D94" s="25" t="s">
        <v>596</v>
      </c>
      <c r="E94" s="28" t="s">
        <v>603</v>
      </c>
      <c r="F94" s="3" t="s">
        <v>495</v>
      </c>
    </row>
    <row r="95" spans="1:6" x14ac:dyDescent="0.25">
      <c r="A95" s="25" t="s">
        <v>585</v>
      </c>
      <c r="B95" s="29" t="s">
        <v>604</v>
      </c>
      <c r="C95" s="100">
        <v>0.15</v>
      </c>
      <c r="D95" s="25" t="s">
        <v>605</v>
      </c>
      <c r="E95" s="28" t="s">
        <v>606</v>
      </c>
      <c r="F95" s="3" t="s">
        <v>495</v>
      </c>
    </row>
    <row r="96" spans="1:6" x14ac:dyDescent="0.25">
      <c r="A96" s="25" t="s">
        <v>585</v>
      </c>
      <c r="B96" s="29" t="s">
        <v>607</v>
      </c>
      <c r="C96" s="100">
        <v>1</v>
      </c>
      <c r="D96" s="25" t="s">
        <v>608</v>
      </c>
      <c r="E96" s="28" t="s">
        <v>609</v>
      </c>
      <c r="F96" s="3" t="s">
        <v>495</v>
      </c>
    </row>
    <row r="97" spans="1:6" x14ac:dyDescent="0.25">
      <c r="A97" s="25" t="s">
        <v>58</v>
      </c>
      <c r="B97" s="29" t="s">
        <v>610</v>
      </c>
      <c r="C97" s="98">
        <v>2750</v>
      </c>
      <c r="D97" s="25" t="s">
        <v>343</v>
      </c>
      <c r="E97" s="28" t="s">
        <v>611</v>
      </c>
      <c r="F97" s="3" t="s">
        <v>495</v>
      </c>
    </row>
    <row r="98" spans="1:6" x14ac:dyDescent="0.25">
      <c r="A98" s="25" t="s">
        <v>58</v>
      </c>
      <c r="B98" s="29" t="s">
        <v>612</v>
      </c>
      <c r="C98" s="98">
        <v>1830</v>
      </c>
      <c r="D98" s="25" t="s">
        <v>343</v>
      </c>
      <c r="E98" s="28" t="s">
        <v>613</v>
      </c>
      <c r="F98" s="3" t="s">
        <v>495</v>
      </c>
    </row>
    <row r="100" spans="1:6" ht="15.75" x14ac:dyDescent="0.25">
      <c r="A100" s="17" t="s">
        <v>614</v>
      </c>
    </row>
    <row r="101" spans="1:6" x14ac:dyDescent="0.25">
      <c r="A101" s="102" t="s">
        <v>46</v>
      </c>
      <c r="B101" s="103" t="s">
        <v>615</v>
      </c>
      <c r="C101" s="104">
        <f>MAX(1,ROUNDDOWN(shkaf_eshik/2,0))</f>
        <v>3</v>
      </c>
      <c r="D101" s="102" t="s">
        <v>48</v>
      </c>
      <c r="E101" s="105" t="s">
        <v>616</v>
      </c>
      <c r="F101" s="105" t="s">
        <v>617</v>
      </c>
    </row>
    <row r="102" spans="1:6" x14ac:dyDescent="0.25">
      <c r="A102" s="102" t="s">
        <v>46</v>
      </c>
      <c r="B102" s="103" t="s">
        <v>618</v>
      </c>
      <c r="C102" s="104">
        <f>shkaf_D-qal</f>
        <v>584</v>
      </c>
      <c r="D102" s="102" t="s">
        <v>343</v>
      </c>
      <c r="E102" s="105" t="s">
        <v>619</v>
      </c>
      <c r="F102" s="105" t="s">
        <v>620</v>
      </c>
    </row>
    <row r="103" spans="1:6" x14ac:dyDescent="0.25">
      <c r="A103" s="102" t="s">
        <v>46</v>
      </c>
      <c r="B103" s="103" t="s">
        <v>621</v>
      </c>
      <c r="C103" s="104">
        <f>ROUNDDOWN((shkaf_W-(shkaf_sek+1)*qal)/shkaf_sek,0)</f>
        <v>778</v>
      </c>
      <c r="D103" s="102" t="s">
        <v>343</v>
      </c>
      <c r="E103" s="105" t="s">
        <v>622</v>
      </c>
      <c r="F103" s="105" t="s">
        <v>623</v>
      </c>
    </row>
    <row r="104" spans="1:6" x14ac:dyDescent="0.25">
      <c r="A104" s="102" t="s">
        <v>46</v>
      </c>
      <c r="B104" s="103" t="s">
        <v>624</v>
      </c>
      <c r="C104" s="104">
        <f>ROUNDDOWN(shkaf_W/(2*shkaf_sek)-tir,0)</f>
        <v>397</v>
      </c>
      <c r="D104" s="102" t="s">
        <v>343</v>
      </c>
      <c r="E104" s="105" t="s">
        <v>625</v>
      </c>
      <c r="F104" s="105" t="s">
        <v>626</v>
      </c>
    </row>
    <row r="105" spans="1:6" x14ac:dyDescent="0.25">
      <c r="A105" s="102" t="s">
        <v>46</v>
      </c>
      <c r="B105" s="103" t="s">
        <v>627</v>
      </c>
      <c r="C105" s="104">
        <f>shkaf_H-tsokol-tir</f>
        <v>2117</v>
      </c>
      <c r="D105" s="102" t="s">
        <v>343</v>
      </c>
      <c r="E105" s="105" t="s">
        <v>628</v>
      </c>
      <c r="F105" s="105" t="s">
        <v>629</v>
      </c>
    </row>
    <row r="106" spans="1:6" x14ac:dyDescent="0.25">
      <c r="A106" s="102" t="s">
        <v>46</v>
      </c>
      <c r="B106" s="103" t="s">
        <v>630</v>
      </c>
      <c r="C106" s="104">
        <f>IF(shkaf_eshikH&gt;2000,5,IF(shkaf_eshikH&gt;1600,4,IF(shkaf_eshikH&gt;900,3,2)))</f>
        <v>5</v>
      </c>
      <c r="D106" s="102" t="s">
        <v>48</v>
      </c>
      <c r="E106" s="105" t="s">
        <v>631</v>
      </c>
      <c r="F106" s="105" t="s">
        <v>632</v>
      </c>
    </row>
    <row r="107" spans="1:6" x14ac:dyDescent="0.25">
      <c r="A107" s="102" t="s">
        <v>46</v>
      </c>
      <c r="B107" s="103" t="s">
        <v>633</v>
      </c>
      <c r="C107" s="104">
        <f>ROUNDUP((shkaf_W-2*qal)/(ldsp_L-20),0)</f>
        <v>1</v>
      </c>
      <c r="D107" s="102" t="s">
        <v>48</v>
      </c>
      <c r="E107" s="105" t="s">
        <v>634</v>
      </c>
      <c r="F107" s="105" t="s">
        <v>635</v>
      </c>
    </row>
    <row r="108" spans="1:6" x14ac:dyDescent="0.25">
      <c r="A108" s="102" t="s">
        <v>46</v>
      </c>
      <c r="B108" s="103" t="s">
        <v>636</v>
      </c>
      <c r="C108" s="104">
        <f>ROUNDDOWN((shkaf_W-2*qal)/shkaf_qop_n,0)</f>
        <v>2368</v>
      </c>
      <c r="D108" s="102" t="s">
        <v>343</v>
      </c>
      <c r="E108" s="105" t="s">
        <v>637</v>
      </c>
      <c r="F108" s="105" t="s">
        <v>638</v>
      </c>
    </row>
    <row r="109" spans="1:6" x14ac:dyDescent="0.25">
      <c r="A109" s="102" t="s">
        <v>58</v>
      </c>
      <c r="B109" s="103" t="s">
        <v>639</v>
      </c>
      <c r="C109" s="104">
        <f>krovat_L-2*qal</f>
        <v>2168</v>
      </c>
      <c r="D109" s="102" t="s">
        <v>343</v>
      </c>
      <c r="E109" s="105" t="s">
        <v>640</v>
      </c>
      <c r="F109" s="105" t="s">
        <v>641</v>
      </c>
    </row>
    <row r="110" spans="1:6" x14ac:dyDescent="0.25">
      <c r="A110" s="102" t="s">
        <v>58</v>
      </c>
      <c r="B110" s="103" t="s">
        <v>642</v>
      </c>
      <c r="C110" s="104">
        <f>krovat_W-2*qal</f>
        <v>1668</v>
      </c>
      <c r="D110" s="102" t="s">
        <v>343</v>
      </c>
      <c r="E110" s="105" t="s">
        <v>643</v>
      </c>
      <c r="F110" s="105" t="s">
        <v>644</v>
      </c>
    </row>
    <row r="111" spans="1:6" x14ac:dyDescent="0.25">
      <c r="A111" s="102" t="s">
        <v>74</v>
      </c>
      <c r="B111" s="103" t="s">
        <v>645</v>
      </c>
      <c r="C111" s="104">
        <f>tumba_D-qal</f>
        <v>384</v>
      </c>
      <c r="D111" s="102" t="s">
        <v>343</v>
      </c>
      <c r="E111" s="105" t="s">
        <v>646</v>
      </c>
      <c r="F111" s="105" t="s">
        <v>647</v>
      </c>
    </row>
    <row r="112" spans="1:6" x14ac:dyDescent="0.25">
      <c r="A112" s="102" t="s">
        <v>74</v>
      </c>
      <c r="B112" s="103" t="s">
        <v>648</v>
      </c>
      <c r="C112" s="104">
        <f>tumba_W-tir</f>
        <v>497</v>
      </c>
      <c r="D112" s="102" t="s">
        <v>343</v>
      </c>
      <c r="E112" s="105" t="s">
        <v>649</v>
      </c>
      <c r="F112" s="105" t="s">
        <v>650</v>
      </c>
    </row>
    <row r="113" spans="1:6" x14ac:dyDescent="0.25">
      <c r="A113" s="102" t="s">
        <v>74</v>
      </c>
      <c r="B113" s="103" t="s">
        <v>651</v>
      </c>
      <c r="C113" s="104">
        <f>ROUNDDOWN((tumba_H-qal-tsokol-tumba_yashik*tir)/tumba_yashik,0)</f>
        <v>249</v>
      </c>
      <c r="D113" s="102" t="s">
        <v>343</v>
      </c>
      <c r="E113" s="105" t="s">
        <v>652</v>
      </c>
      <c r="F113" s="105" t="s">
        <v>653</v>
      </c>
    </row>
    <row r="114" spans="1:6" x14ac:dyDescent="0.25">
      <c r="A114" s="102" t="s">
        <v>74</v>
      </c>
      <c r="B114" s="103" t="s">
        <v>654</v>
      </c>
      <c r="C114" s="104">
        <f>tumba_W-2*qal-zazor_nap</f>
        <v>442</v>
      </c>
      <c r="D114" s="102" t="s">
        <v>343</v>
      </c>
      <c r="E114" s="105" t="s">
        <v>655</v>
      </c>
      <c r="F114" s="105" t="s">
        <v>656</v>
      </c>
    </row>
    <row r="115" spans="1:6" x14ac:dyDescent="0.25">
      <c r="A115" s="102" t="s">
        <v>74</v>
      </c>
      <c r="B115" s="103" t="s">
        <v>657</v>
      </c>
      <c r="C115" s="104">
        <f>tumba_fasH-zazor_quti</f>
        <v>189</v>
      </c>
      <c r="D115" s="102" t="s">
        <v>343</v>
      </c>
      <c r="E115" s="105" t="s">
        <v>658</v>
      </c>
      <c r="F115" s="105" t="s">
        <v>659</v>
      </c>
    </row>
    <row r="116" spans="1:6" x14ac:dyDescent="0.25">
      <c r="A116" s="102" t="s">
        <v>74</v>
      </c>
      <c r="B116" s="103" t="s">
        <v>660</v>
      </c>
      <c r="C116" s="104">
        <f>FLOOR(tumba_Dk-zazor_chuq,50)</f>
        <v>350</v>
      </c>
      <c r="D116" s="102" t="s">
        <v>343</v>
      </c>
      <c r="E116" s="105" t="s">
        <v>661</v>
      </c>
      <c r="F116" s="105" t="s">
        <v>662</v>
      </c>
    </row>
    <row r="117" spans="1:6" x14ac:dyDescent="0.25">
      <c r="A117" s="102" t="s">
        <v>77</v>
      </c>
      <c r="B117" s="103" t="s">
        <v>663</v>
      </c>
      <c r="C117" s="104">
        <f>chest_D-qal</f>
        <v>484</v>
      </c>
      <c r="D117" s="102" t="s">
        <v>343</v>
      </c>
      <c r="E117" s="105" t="s">
        <v>664</v>
      </c>
      <c r="F117" s="105" t="s">
        <v>665</v>
      </c>
    </row>
    <row r="118" spans="1:6" x14ac:dyDescent="0.25">
      <c r="A118" s="102" t="s">
        <v>77</v>
      </c>
      <c r="B118" s="103" t="s">
        <v>666</v>
      </c>
      <c r="C118" s="104">
        <f>chest_W-tir</f>
        <v>797</v>
      </c>
      <c r="D118" s="102" t="s">
        <v>343</v>
      </c>
      <c r="E118" s="105" t="s">
        <v>667</v>
      </c>
      <c r="F118" s="105" t="s">
        <v>668</v>
      </c>
    </row>
    <row r="119" spans="1:6" x14ac:dyDescent="0.25">
      <c r="A119" s="102" t="s">
        <v>77</v>
      </c>
      <c r="B119" s="103" t="s">
        <v>669</v>
      </c>
      <c r="C119" s="104">
        <f>ROUNDDOWN((chest_H-qal-tsokol-chest_yashik*tir)/chest_yashik,0)</f>
        <v>223</v>
      </c>
      <c r="D119" s="102" t="s">
        <v>343</v>
      </c>
      <c r="E119" s="105" t="s">
        <v>670</v>
      </c>
      <c r="F119" s="105" t="s">
        <v>671</v>
      </c>
    </row>
    <row r="120" spans="1:6" x14ac:dyDescent="0.25">
      <c r="A120" s="102" t="s">
        <v>77</v>
      </c>
      <c r="B120" s="103" t="s">
        <v>672</v>
      </c>
      <c r="C120" s="104">
        <f>chest_W-2*qal-zazor_nap</f>
        <v>742</v>
      </c>
      <c r="D120" s="102" t="s">
        <v>343</v>
      </c>
      <c r="E120" s="105" t="s">
        <v>673</v>
      </c>
      <c r="F120" s="105" t="s">
        <v>674</v>
      </c>
    </row>
    <row r="121" spans="1:6" x14ac:dyDescent="0.25">
      <c r="A121" s="102" t="s">
        <v>77</v>
      </c>
      <c r="B121" s="103" t="s">
        <v>675</v>
      </c>
      <c r="C121" s="104">
        <f>chest_fasH-zazor_quti</f>
        <v>163</v>
      </c>
      <c r="D121" s="102" t="s">
        <v>343</v>
      </c>
      <c r="E121" s="105" t="s">
        <v>676</v>
      </c>
      <c r="F121" s="105" t="s">
        <v>677</v>
      </c>
    </row>
    <row r="122" spans="1:6" x14ac:dyDescent="0.25">
      <c r="A122" s="102" t="s">
        <v>77</v>
      </c>
      <c r="B122" s="103" t="s">
        <v>678</v>
      </c>
      <c r="C122" s="104">
        <f>FLOOR(chest_Dk-zazor_chuq,50)</f>
        <v>450</v>
      </c>
      <c r="D122" s="102" t="s">
        <v>343</v>
      </c>
      <c r="E122" s="105" t="s">
        <v>679</v>
      </c>
      <c r="F122" s="105" t="s">
        <v>680</v>
      </c>
    </row>
    <row r="123" spans="1:6" x14ac:dyDescent="0.25">
      <c r="A123" s="102" t="s">
        <v>69</v>
      </c>
      <c r="B123" s="103" t="s">
        <v>681</v>
      </c>
      <c r="C123" s="104">
        <f>trimo_D-qal</f>
        <v>434</v>
      </c>
      <c r="D123" s="102" t="s">
        <v>343</v>
      </c>
      <c r="E123" s="105" t="s">
        <v>682</v>
      </c>
      <c r="F123" s="105" t="s">
        <v>683</v>
      </c>
    </row>
    <row r="124" spans="1:6" x14ac:dyDescent="0.25">
      <c r="A124" s="102" t="s">
        <v>69</v>
      </c>
      <c r="B124" s="103" t="s">
        <v>684</v>
      </c>
      <c r="C124" s="104">
        <f>ROUNDDOWN((trimo_W-4*qal)/3,0)</f>
        <v>512</v>
      </c>
      <c r="D124" s="102" t="s">
        <v>343</v>
      </c>
      <c r="E124" s="105" t="s">
        <v>685</v>
      </c>
      <c r="F124" s="105" t="s">
        <v>686</v>
      </c>
    </row>
    <row r="125" spans="1:6" x14ac:dyDescent="0.25">
      <c r="A125" s="102" t="s">
        <v>69</v>
      </c>
      <c r="B125" s="103" t="s">
        <v>687</v>
      </c>
      <c r="C125" s="104">
        <f>ROUNDDOWN(trimo_W/3-tir,0)</f>
        <v>530</v>
      </c>
      <c r="D125" s="102" t="s">
        <v>343</v>
      </c>
      <c r="E125" s="105" t="s">
        <v>688</v>
      </c>
      <c r="F125" s="105" t="s">
        <v>689</v>
      </c>
    </row>
    <row r="126" spans="1:6" x14ac:dyDescent="0.25">
      <c r="A126" s="102" t="s">
        <v>69</v>
      </c>
      <c r="B126" s="103" t="s">
        <v>690</v>
      </c>
      <c r="C126" s="104">
        <f>trimo_H-qal-tsokol-tir</f>
        <v>731</v>
      </c>
      <c r="D126" s="102" t="s">
        <v>343</v>
      </c>
      <c r="E126" s="105" t="s">
        <v>691</v>
      </c>
      <c r="F126" s="105" t="s">
        <v>692</v>
      </c>
    </row>
    <row r="127" spans="1:6" x14ac:dyDescent="0.25">
      <c r="A127" s="102" t="s">
        <v>69</v>
      </c>
      <c r="B127" s="103" t="s">
        <v>693</v>
      </c>
      <c r="C127" s="104">
        <f>ROUNDDOWN((trimo_H-qal-tsokol-trimo_yashik*tir)/trimo_yashik,0)</f>
        <v>241</v>
      </c>
      <c r="D127" s="102" t="s">
        <v>343</v>
      </c>
      <c r="E127" s="105" t="s">
        <v>694</v>
      </c>
      <c r="F127" s="105" t="s">
        <v>695</v>
      </c>
    </row>
    <row r="128" spans="1:6" x14ac:dyDescent="0.25">
      <c r="A128" s="102" t="s">
        <v>69</v>
      </c>
      <c r="B128" s="103" t="s">
        <v>696</v>
      </c>
      <c r="C128" s="104">
        <f>trimo_sekW-zazor_nap</f>
        <v>486</v>
      </c>
      <c r="D128" s="102" t="s">
        <v>343</v>
      </c>
      <c r="E128" s="105" t="s">
        <v>697</v>
      </c>
      <c r="F128" s="105" t="s">
        <v>698</v>
      </c>
    </row>
    <row r="129" spans="1:6" x14ac:dyDescent="0.25">
      <c r="A129" s="102" t="s">
        <v>69</v>
      </c>
      <c r="B129" s="103" t="s">
        <v>699</v>
      </c>
      <c r="C129" s="104">
        <f>trimo_fasH-zazor_quti</f>
        <v>181</v>
      </c>
      <c r="D129" s="102" t="s">
        <v>343</v>
      </c>
      <c r="E129" s="105" t="s">
        <v>700</v>
      </c>
      <c r="F129" s="105" t="s">
        <v>701</v>
      </c>
    </row>
    <row r="130" spans="1:6" x14ac:dyDescent="0.25">
      <c r="A130" s="102" t="s">
        <v>69</v>
      </c>
      <c r="B130" s="103" t="s">
        <v>702</v>
      </c>
      <c r="C130" s="104">
        <f>FLOOR(trimo_Dk-zazor_chuq,50)</f>
        <v>400</v>
      </c>
      <c r="D130" s="102" t="s">
        <v>343</v>
      </c>
      <c r="E130" s="105" t="s">
        <v>703</v>
      </c>
      <c r="F130" s="105" t="s">
        <v>704</v>
      </c>
    </row>
    <row r="131" spans="1:6" x14ac:dyDescent="0.25">
      <c r="A131" s="102" t="s">
        <v>69</v>
      </c>
      <c r="B131" s="103" t="s">
        <v>705</v>
      </c>
      <c r="C131" s="104">
        <f>IF(trimo_eshikH&gt;2000,5,IF(trimo_eshikH&gt;1600,4,IF(trimo_eshikH&gt;900,3,2)))</f>
        <v>2</v>
      </c>
      <c r="D131" s="102" t="s">
        <v>48</v>
      </c>
      <c r="E131" s="105" t="s">
        <v>706</v>
      </c>
      <c r="F131" s="105" t="s">
        <v>707</v>
      </c>
    </row>
    <row r="132" spans="1:6" x14ac:dyDescent="0.25">
      <c r="A132" s="102" t="s">
        <v>79</v>
      </c>
      <c r="B132" s="103" t="s">
        <v>708</v>
      </c>
      <c r="C132" s="104">
        <f>pufik_H-pufik_porolon-pufik_oyoq</f>
        <v>350</v>
      </c>
      <c r="D132" s="102" t="s">
        <v>343</v>
      </c>
      <c r="E132" s="105" t="s">
        <v>709</v>
      </c>
      <c r="F132" s="105" t="s">
        <v>710</v>
      </c>
    </row>
    <row r="134" spans="1:6" ht="15.75" x14ac:dyDescent="0.25">
      <c r="A134" s="17" t="s">
        <v>711</v>
      </c>
    </row>
    <row r="135" spans="1:6" x14ac:dyDescent="0.25">
      <c r="A135" s="102" t="s">
        <v>46</v>
      </c>
      <c r="B135" s="103" t="s">
        <v>712</v>
      </c>
      <c r="C135" s="106">
        <f>IF(OR(p_shkaf_yuz="Krasheniy",p_shkaf_yon="Krasheniy"),1,0)</f>
        <v>0</v>
      </c>
      <c r="D135" s="102" t="s">
        <v>522</v>
      </c>
      <c r="E135" s="105" t="s">
        <v>713</v>
      </c>
      <c r="F135" s="105" t="s">
        <v>714</v>
      </c>
    </row>
    <row r="136" spans="1:6" x14ac:dyDescent="0.25">
      <c r="A136" s="102" t="s">
        <v>46</v>
      </c>
      <c r="B136" s="103" t="s">
        <v>715</v>
      </c>
      <c r="C136" s="106">
        <f>IF(OR(p_shkaf_yuz="Krasheniy",shkaf_kra=0),1,0)</f>
        <v>1</v>
      </c>
      <c r="D136" s="102" t="s">
        <v>522</v>
      </c>
      <c r="E136" s="105" t="s">
        <v>716</v>
      </c>
      <c r="F136" s="105" t="s">
        <v>717</v>
      </c>
    </row>
    <row r="137" spans="1:6" x14ac:dyDescent="0.25">
      <c r="A137" s="102" t="s">
        <v>46</v>
      </c>
      <c r="B137" s="103" t="s">
        <v>718</v>
      </c>
      <c r="C137" s="106">
        <f>IF(OR(p_shkaf_yon="Krasheniy",shkaf_kra=0),1,0)</f>
        <v>1</v>
      </c>
      <c r="D137" s="102" t="s">
        <v>522</v>
      </c>
      <c r="E137" s="105" t="s">
        <v>719</v>
      </c>
      <c r="F137" s="105" t="s">
        <v>717</v>
      </c>
    </row>
    <row r="138" spans="1:6" ht="25.5" x14ac:dyDescent="0.25">
      <c r="A138" s="102" t="s">
        <v>74</v>
      </c>
      <c r="B138" s="103" t="s">
        <v>720</v>
      </c>
      <c r="C138" s="106">
        <f>IF(OR(p_tumba_yuz="Krasheniy",p_tumba_yon="Krasheniy"),1,0)</f>
        <v>0</v>
      </c>
      <c r="D138" s="102" t="s">
        <v>522</v>
      </c>
      <c r="E138" s="105" t="s">
        <v>721</v>
      </c>
      <c r="F138" s="105" t="s">
        <v>714</v>
      </c>
    </row>
    <row r="139" spans="1:6" x14ac:dyDescent="0.25">
      <c r="A139" s="102" t="s">
        <v>74</v>
      </c>
      <c r="B139" s="103" t="s">
        <v>722</v>
      </c>
      <c r="C139" s="106">
        <f>IF(OR(p_tumba_yuz="Krasheniy",tumba_kra=0),1,0)</f>
        <v>1</v>
      </c>
      <c r="D139" s="102" t="s">
        <v>522</v>
      </c>
      <c r="E139" s="105" t="s">
        <v>723</v>
      </c>
      <c r="F139" s="105" t="s">
        <v>717</v>
      </c>
    </row>
    <row r="140" spans="1:6" x14ac:dyDescent="0.25">
      <c r="A140" s="102" t="s">
        <v>74</v>
      </c>
      <c r="B140" s="103" t="s">
        <v>724</v>
      </c>
      <c r="C140" s="106">
        <f>IF(OR(p_tumba_yon="Krasheniy",tumba_kra=0),1,0)</f>
        <v>1</v>
      </c>
      <c r="D140" s="102" t="s">
        <v>522</v>
      </c>
      <c r="E140" s="105" t="s">
        <v>725</v>
      </c>
      <c r="F140" s="105" t="s">
        <v>717</v>
      </c>
    </row>
    <row r="141" spans="1:6" x14ac:dyDescent="0.25">
      <c r="A141" s="102" t="s">
        <v>69</v>
      </c>
      <c r="B141" s="103" t="s">
        <v>726</v>
      </c>
      <c r="C141" s="106">
        <f>IF(OR(p_trimo_yuz="Krasheniy",p_trimo_yon="Krasheniy"),1,0)</f>
        <v>0</v>
      </c>
      <c r="D141" s="102" t="s">
        <v>522</v>
      </c>
      <c r="E141" s="105" t="s">
        <v>727</v>
      </c>
      <c r="F141" s="105" t="s">
        <v>714</v>
      </c>
    </row>
    <row r="142" spans="1:6" x14ac:dyDescent="0.25">
      <c r="A142" s="102" t="s">
        <v>69</v>
      </c>
      <c r="B142" s="103" t="s">
        <v>728</v>
      </c>
      <c r="C142" s="106">
        <f>IF(OR(p_trimo_yuz="Krasheniy",trimo_kra=0),1,0)</f>
        <v>1</v>
      </c>
      <c r="D142" s="102" t="s">
        <v>522</v>
      </c>
      <c r="E142" s="105" t="s">
        <v>729</v>
      </c>
      <c r="F142" s="105" t="s">
        <v>717</v>
      </c>
    </row>
    <row r="143" spans="1:6" x14ac:dyDescent="0.25">
      <c r="A143" s="102" t="s">
        <v>69</v>
      </c>
      <c r="B143" s="103" t="s">
        <v>730</v>
      </c>
      <c r="C143" s="106">
        <f>IF(OR(p_trimo_yon="Krasheniy",trimo_kra=0),1,0)</f>
        <v>1</v>
      </c>
      <c r="D143" s="102" t="s">
        <v>522</v>
      </c>
      <c r="E143" s="105" t="s">
        <v>731</v>
      </c>
      <c r="F143" s="105" t="s">
        <v>717</v>
      </c>
    </row>
    <row r="144" spans="1:6" ht="25.5" x14ac:dyDescent="0.25">
      <c r="A144" s="102" t="s">
        <v>77</v>
      </c>
      <c r="B144" s="103" t="s">
        <v>732</v>
      </c>
      <c r="C144" s="106">
        <f>IF(OR(p_chest_yuz="Krasheniy",p_chest_yon="Krasheniy"),1,0)</f>
        <v>0</v>
      </c>
      <c r="D144" s="102" t="s">
        <v>522</v>
      </c>
      <c r="E144" s="105" t="s">
        <v>733</v>
      </c>
      <c r="F144" s="105" t="s">
        <v>714</v>
      </c>
    </row>
    <row r="145" spans="1:6" x14ac:dyDescent="0.25">
      <c r="A145" s="102" t="s">
        <v>77</v>
      </c>
      <c r="B145" s="103" t="s">
        <v>734</v>
      </c>
      <c r="C145" s="106">
        <f>IF(OR(p_chest_yuz="Krasheniy",chest_kra=0),1,0)</f>
        <v>1</v>
      </c>
      <c r="D145" s="102" t="s">
        <v>522</v>
      </c>
      <c r="E145" s="105" t="s">
        <v>735</v>
      </c>
      <c r="F145" s="105" t="s">
        <v>717</v>
      </c>
    </row>
    <row r="146" spans="1:6" x14ac:dyDescent="0.25">
      <c r="A146" s="102" t="s">
        <v>77</v>
      </c>
      <c r="B146" s="103" t="s">
        <v>736</v>
      </c>
      <c r="C146" s="106">
        <f>IF(OR(p_chest_yon="Krasheniy",chest_kra=0),1,0)</f>
        <v>1</v>
      </c>
      <c r="D146" s="102" t="s">
        <v>522</v>
      </c>
      <c r="E146" s="105" t="s">
        <v>737</v>
      </c>
      <c r="F146" s="105" t="s">
        <v>717</v>
      </c>
    </row>
    <row r="148" spans="1:6" ht="15.75" x14ac:dyDescent="0.25">
      <c r="A148" s="17" t="s">
        <v>738</v>
      </c>
    </row>
    <row r="149" spans="1:6" x14ac:dyDescent="0.25">
      <c r="A149" s="25" t="s">
        <v>20</v>
      </c>
      <c r="B149" s="29" t="s">
        <v>739</v>
      </c>
      <c r="C149" s="64" t="s">
        <v>740</v>
      </c>
      <c r="D149" s="25"/>
      <c r="E149" s="28" t="s">
        <v>741</v>
      </c>
      <c r="F149" s="3" t="s">
        <v>742</v>
      </c>
    </row>
    <row r="151" spans="1:6" ht="15.75" x14ac:dyDescent="0.25">
      <c r="A151" s="17" t="s">
        <v>743</v>
      </c>
    </row>
    <row r="152" spans="1:6" x14ac:dyDescent="0.25">
      <c r="A152" s="25" t="s">
        <v>744</v>
      </c>
      <c r="B152" s="29" t="s">
        <v>745</v>
      </c>
      <c r="C152" s="98">
        <v>100</v>
      </c>
      <c r="D152" s="25" t="s">
        <v>343</v>
      </c>
      <c r="E152" s="28" t="s">
        <v>746</v>
      </c>
      <c r="F152" s="3" t="s">
        <v>495</v>
      </c>
    </row>
    <row r="153" spans="1:6" x14ac:dyDescent="0.25">
      <c r="A153" s="25" t="s">
        <v>744</v>
      </c>
      <c r="B153" s="29" t="s">
        <v>747</v>
      </c>
      <c r="C153" s="98">
        <v>30</v>
      </c>
      <c r="D153" s="25" t="s">
        <v>343</v>
      </c>
      <c r="E153" s="28" t="s">
        <v>748</v>
      </c>
      <c r="F153" s="3" t="s">
        <v>495</v>
      </c>
    </row>
    <row r="154" spans="1:6" x14ac:dyDescent="0.25">
      <c r="A154" s="25" t="s">
        <v>744</v>
      </c>
      <c r="B154" s="29" t="s">
        <v>749</v>
      </c>
      <c r="C154" s="98">
        <v>40</v>
      </c>
      <c r="D154" s="25" t="s">
        <v>343</v>
      </c>
      <c r="E154" s="28" t="s">
        <v>750</v>
      </c>
      <c r="F154" s="3" t="s">
        <v>495</v>
      </c>
    </row>
    <row r="155" spans="1:6" x14ac:dyDescent="0.25">
      <c r="A155" s="25" t="s">
        <v>744</v>
      </c>
      <c r="B155" s="29" t="s">
        <v>751</v>
      </c>
      <c r="C155" s="98">
        <v>800</v>
      </c>
      <c r="D155" s="25" t="s">
        <v>343</v>
      </c>
      <c r="E155" s="28" t="s">
        <v>752</v>
      </c>
      <c r="F155" s="3" t="s">
        <v>495</v>
      </c>
    </row>
    <row r="156" spans="1:6" x14ac:dyDescent="0.25">
      <c r="A156" s="25" t="s">
        <v>744</v>
      </c>
      <c r="B156" s="29" t="s">
        <v>753</v>
      </c>
      <c r="C156" s="98">
        <v>900</v>
      </c>
      <c r="D156" s="25" t="s">
        <v>343</v>
      </c>
      <c r="E156" s="28" t="s">
        <v>754</v>
      </c>
      <c r="F156" s="3" t="s">
        <v>495</v>
      </c>
    </row>
    <row r="157" spans="1:6" x14ac:dyDescent="0.25">
      <c r="A157" s="25" t="s">
        <v>744</v>
      </c>
      <c r="B157" s="29" t="s">
        <v>755</v>
      </c>
      <c r="C157" s="98">
        <v>200</v>
      </c>
      <c r="D157" s="25" t="s">
        <v>343</v>
      </c>
      <c r="E157" s="28" t="s">
        <v>756</v>
      </c>
      <c r="F157" s="3" t="s">
        <v>495</v>
      </c>
    </row>
    <row r="158" spans="1:6" x14ac:dyDescent="0.25">
      <c r="A158" s="25" t="s">
        <v>744</v>
      </c>
      <c r="B158" s="29" t="s">
        <v>757</v>
      </c>
      <c r="C158" s="98">
        <v>150</v>
      </c>
      <c r="D158" s="25" t="s">
        <v>343</v>
      </c>
      <c r="E158" s="28" t="s">
        <v>758</v>
      </c>
      <c r="F158" s="3" t="s">
        <v>495</v>
      </c>
    </row>
    <row r="159" spans="1:6" ht="25.5" x14ac:dyDescent="0.25">
      <c r="A159" s="25" t="s">
        <v>744</v>
      </c>
      <c r="B159" s="29" t="s">
        <v>759</v>
      </c>
      <c r="C159" s="98">
        <v>50</v>
      </c>
      <c r="D159" s="25" t="s">
        <v>343</v>
      </c>
      <c r="E159" s="28" t="s">
        <v>760</v>
      </c>
      <c r="F159" s="3" t="s">
        <v>495</v>
      </c>
    </row>
  </sheetData>
  <dataValidations count="1">
    <dataValidation type="list" sqref="C149">
      <formula1>"Tan narx (Baraka ustamasi qo'shiladi),Sotuv narxi (ustama qo'shilmaydi)"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8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7109375" defaultRowHeight="15" x14ac:dyDescent="0.25"/>
  <cols>
    <col min="1" max="1" width="5" customWidth="1"/>
    <col min="2" max="2" width="12" customWidth="1"/>
    <col min="3" max="3" width="26" customWidth="1"/>
    <col min="4" max="4" width="22" customWidth="1"/>
    <col min="5" max="5" width="12" customWidth="1"/>
    <col min="6" max="6" width="11" customWidth="1"/>
    <col min="7" max="7" width="10" customWidth="1"/>
    <col min="8" max="8" width="7" customWidth="1"/>
    <col min="9" max="16" width="11" customWidth="1"/>
    <col min="17" max="17" width="14" customWidth="1"/>
    <col min="18" max="18" width="46" customWidth="1"/>
  </cols>
  <sheetData>
    <row r="1" spans="1:18" ht="18" x14ac:dyDescent="0.25">
      <c r="A1" s="1" t="s">
        <v>761</v>
      </c>
    </row>
    <row r="2" spans="1:18" x14ac:dyDescent="0.25">
      <c r="A2" s="2" t="s">
        <v>762</v>
      </c>
    </row>
    <row r="4" spans="1:18" ht="36" customHeight="1" x14ac:dyDescent="0.25">
      <c r="A4" s="6" t="s">
        <v>100</v>
      </c>
      <c r="B4" s="6" t="s">
        <v>41</v>
      </c>
      <c r="C4" s="6" t="s">
        <v>763</v>
      </c>
      <c r="D4" s="6" t="s">
        <v>764</v>
      </c>
      <c r="E4" s="6" t="s">
        <v>765</v>
      </c>
      <c r="F4" s="6" t="s">
        <v>766</v>
      </c>
      <c r="G4" s="6" t="s">
        <v>767</v>
      </c>
      <c r="H4" s="6" t="s">
        <v>88</v>
      </c>
      <c r="I4" s="6" t="s">
        <v>768</v>
      </c>
      <c r="J4" s="6" t="s">
        <v>769</v>
      </c>
      <c r="K4" s="6" t="s">
        <v>770</v>
      </c>
      <c r="L4" s="6" t="s">
        <v>771</v>
      </c>
      <c r="M4" s="6" t="s">
        <v>772</v>
      </c>
      <c r="N4" s="6" t="s">
        <v>773</v>
      </c>
      <c r="O4" s="6" t="s">
        <v>774</v>
      </c>
      <c r="P4" s="6" t="s">
        <v>775</v>
      </c>
      <c r="Q4" s="6" t="s">
        <v>776</v>
      </c>
      <c r="R4" s="6" t="s">
        <v>110</v>
      </c>
    </row>
    <row r="5" spans="1:18" x14ac:dyDescent="0.25">
      <c r="A5" s="27">
        <v>1</v>
      </c>
      <c r="B5" s="25" t="s">
        <v>46</v>
      </c>
      <c r="C5" s="25" t="s">
        <v>777</v>
      </c>
      <c r="D5" s="25" t="s">
        <v>322</v>
      </c>
      <c r="E5" s="27" t="s">
        <v>778</v>
      </c>
      <c r="F5" s="75">
        <f>shkaf_H</f>
        <v>2200</v>
      </c>
      <c r="G5" s="75">
        <f>shkaf_Dk</f>
        <v>584</v>
      </c>
      <c r="H5" s="107">
        <f>2*shkaf_soni</f>
        <v>2</v>
      </c>
      <c r="I5" s="42">
        <f t="shared" ref="I5:I36" si="0">F5*G5*H5/1000000</f>
        <v>2.5695999999999999</v>
      </c>
      <c r="J5" s="108">
        <v>0</v>
      </c>
      <c r="K5" s="108">
        <v>0</v>
      </c>
      <c r="L5" s="108">
        <v>1</v>
      </c>
      <c r="M5" s="108">
        <v>1</v>
      </c>
      <c r="N5" s="42">
        <f t="shared" ref="N5:N36" si="1">H5*(F5*J5+G5*K5)/1000</f>
        <v>0</v>
      </c>
      <c r="O5" s="42">
        <f t="shared" ref="O5:O36" si="2">H5*(F5*L5+G5*M5)/1000</f>
        <v>5.5679999999999996</v>
      </c>
      <c r="P5" s="42">
        <f t="shared" ref="P5:P36" si="3">2*(F5+G5)*H5/1000</f>
        <v>11.135999999999999</v>
      </c>
      <c r="Q5" s="42">
        <f t="shared" ref="Q5:Q36" si="4">IF(OR(E5="Yuz",E5="Yon"),H5*(F5*G5*IF(E5="Yuz",fasad_tomon,korpus_tomon)+2*(F5+G5)*qal)/1000000,0)</f>
        <v>5.3173760000000003</v>
      </c>
      <c r="R5" s="28" t="s">
        <v>779</v>
      </c>
    </row>
    <row r="6" spans="1:18" x14ac:dyDescent="0.25">
      <c r="A6" s="27">
        <v>2</v>
      </c>
      <c r="B6" s="25" t="s">
        <v>46</v>
      </c>
      <c r="C6" s="25" t="s">
        <v>780</v>
      </c>
      <c r="D6" s="25" t="s">
        <v>322</v>
      </c>
      <c r="E6" s="27" t="s">
        <v>781</v>
      </c>
      <c r="F6" s="75">
        <f>shkaf_qopL</f>
        <v>2368</v>
      </c>
      <c r="G6" s="75">
        <f>shkaf_Dk</f>
        <v>584</v>
      </c>
      <c r="H6" s="107">
        <f>shkaf_qop_n*shkaf_soni</f>
        <v>1</v>
      </c>
      <c r="I6" s="42">
        <f t="shared" si="0"/>
        <v>1.3829119999999999</v>
      </c>
      <c r="J6" s="108">
        <v>0</v>
      </c>
      <c r="K6" s="108">
        <v>0</v>
      </c>
      <c r="L6" s="108">
        <v>1</v>
      </c>
      <c r="M6" s="108">
        <v>0</v>
      </c>
      <c r="N6" s="42">
        <f t="shared" si="1"/>
        <v>0</v>
      </c>
      <c r="O6" s="42">
        <f t="shared" si="2"/>
        <v>2.3679999999999999</v>
      </c>
      <c r="P6" s="42">
        <f t="shared" si="3"/>
        <v>5.9039999999999999</v>
      </c>
      <c r="Q6" s="42">
        <f t="shared" si="4"/>
        <v>0</v>
      </c>
      <c r="R6" s="28" t="s">
        <v>782</v>
      </c>
    </row>
    <row r="7" spans="1:18" x14ac:dyDescent="0.25">
      <c r="A7" s="27">
        <v>3</v>
      </c>
      <c r="B7" s="25" t="s">
        <v>46</v>
      </c>
      <c r="C7" s="25" t="s">
        <v>783</v>
      </c>
      <c r="D7" s="25" t="s">
        <v>322</v>
      </c>
      <c r="E7" s="27" t="s">
        <v>781</v>
      </c>
      <c r="F7" s="75">
        <f>shkaf_qopL</f>
        <v>2368</v>
      </c>
      <c r="G7" s="75">
        <f>shkaf_Dk</f>
        <v>584</v>
      </c>
      <c r="H7" s="107">
        <f>shkaf_qop_n*shkaf_soni</f>
        <v>1</v>
      </c>
      <c r="I7" s="42">
        <f t="shared" si="0"/>
        <v>1.3829119999999999</v>
      </c>
      <c r="J7" s="108">
        <v>0</v>
      </c>
      <c r="K7" s="108">
        <v>0</v>
      </c>
      <c r="L7" s="108">
        <v>1</v>
      </c>
      <c r="M7" s="108">
        <v>0</v>
      </c>
      <c r="N7" s="42">
        <f t="shared" si="1"/>
        <v>0</v>
      </c>
      <c r="O7" s="42">
        <f t="shared" si="2"/>
        <v>2.3679999999999999</v>
      </c>
      <c r="P7" s="42">
        <f t="shared" si="3"/>
        <v>5.9039999999999999</v>
      </c>
      <c r="Q7" s="42">
        <f t="shared" si="4"/>
        <v>0</v>
      </c>
      <c r="R7" s="28" t="s">
        <v>784</v>
      </c>
    </row>
    <row r="8" spans="1:18" x14ac:dyDescent="0.25">
      <c r="A8" s="27">
        <v>4</v>
      </c>
      <c r="B8" s="25" t="s">
        <v>46</v>
      </c>
      <c r="C8" s="25" t="s">
        <v>369</v>
      </c>
      <c r="D8" s="25" t="s">
        <v>322</v>
      </c>
      <c r="E8" s="27" t="s">
        <v>785</v>
      </c>
      <c r="F8" s="75">
        <f>shkaf_qopL</f>
        <v>2368</v>
      </c>
      <c r="G8" s="75">
        <f>tsokol</f>
        <v>80</v>
      </c>
      <c r="H8" s="107">
        <f>shkaf_qop_n*shkaf_soni</f>
        <v>1</v>
      </c>
      <c r="I8" s="42">
        <f t="shared" si="0"/>
        <v>0.18944</v>
      </c>
      <c r="J8" s="108">
        <v>0</v>
      </c>
      <c r="K8" s="108">
        <v>0</v>
      </c>
      <c r="L8" s="108">
        <v>1</v>
      </c>
      <c r="M8" s="108">
        <v>0</v>
      </c>
      <c r="N8" s="42">
        <f t="shared" si="1"/>
        <v>0</v>
      </c>
      <c r="O8" s="42">
        <f t="shared" si="2"/>
        <v>2.3679999999999999</v>
      </c>
      <c r="P8" s="42">
        <f t="shared" si="3"/>
        <v>4.8959999999999999</v>
      </c>
      <c r="Q8" s="42">
        <f t="shared" si="4"/>
        <v>0.45721600000000001</v>
      </c>
      <c r="R8" s="28" t="s">
        <v>786</v>
      </c>
    </row>
    <row r="9" spans="1:18" x14ac:dyDescent="0.25">
      <c r="A9" s="27">
        <v>5</v>
      </c>
      <c r="B9" s="25" t="s">
        <v>46</v>
      </c>
      <c r="C9" s="25" t="s">
        <v>787</v>
      </c>
      <c r="D9" s="25" t="s">
        <v>322</v>
      </c>
      <c r="E9" s="27" t="s">
        <v>781</v>
      </c>
      <c r="F9" s="75">
        <f>shkaf_H-2*qal-tsokol</f>
        <v>2088</v>
      </c>
      <c r="G9" s="75">
        <f>shkaf_Dk</f>
        <v>584</v>
      </c>
      <c r="H9" s="107">
        <f>(shkaf_sek-1)*shkaf_soni</f>
        <v>2</v>
      </c>
      <c r="I9" s="42">
        <f t="shared" si="0"/>
        <v>2.4387840000000001</v>
      </c>
      <c r="J9" s="108">
        <v>0</v>
      </c>
      <c r="K9" s="108">
        <v>0</v>
      </c>
      <c r="L9" s="108">
        <v>1</v>
      </c>
      <c r="M9" s="108">
        <v>0</v>
      </c>
      <c r="N9" s="42">
        <f t="shared" si="1"/>
        <v>0</v>
      </c>
      <c r="O9" s="42">
        <f t="shared" si="2"/>
        <v>4.1760000000000002</v>
      </c>
      <c r="P9" s="42">
        <f t="shared" si="3"/>
        <v>10.688000000000001</v>
      </c>
      <c r="Q9" s="42">
        <f t="shared" si="4"/>
        <v>0</v>
      </c>
      <c r="R9" s="28" t="s">
        <v>788</v>
      </c>
    </row>
    <row r="10" spans="1:18" x14ac:dyDescent="0.25">
      <c r="A10" s="27">
        <v>6</v>
      </c>
      <c r="B10" s="25" t="s">
        <v>46</v>
      </c>
      <c r="C10" s="25" t="s">
        <v>789</v>
      </c>
      <c r="D10" s="25" t="s">
        <v>322</v>
      </c>
      <c r="E10" s="27" t="s">
        <v>781</v>
      </c>
      <c r="F10" s="75">
        <f>shkaf_sekW-2</f>
        <v>776</v>
      </c>
      <c r="G10" s="75">
        <f>shkaf_Dk-zazor_polka</f>
        <v>564</v>
      </c>
      <c r="H10" s="107">
        <f>shkaf_sek*shkaf_soni</f>
        <v>3</v>
      </c>
      <c r="I10" s="42">
        <f t="shared" si="0"/>
        <v>1.3129919999999999</v>
      </c>
      <c r="J10" s="108">
        <v>0</v>
      </c>
      <c r="K10" s="108">
        <v>0</v>
      </c>
      <c r="L10" s="108">
        <v>1</v>
      </c>
      <c r="M10" s="108">
        <v>0</v>
      </c>
      <c r="N10" s="42">
        <f t="shared" si="1"/>
        <v>0</v>
      </c>
      <c r="O10" s="42">
        <f t="shared" si="2"/>
        <v>2.3279999999999998</v>
      </c>
      <c r="P10" s="42">
        <f t="shared" si="3"/>
        <v>8.0399999999999991</v>
      </c>
      <c r="Q10" s="42">
        <f t="shared" si="4"/>
        <v>0</v>
      </c>
      <c r="R10" s="28" t="s">
        <v>790</v>
      </c>
    </row>
    <row r="11" spans="1:18" x14ac:dyDescent="0.25">
      <c r="A11" s="27">
        <v>7</v>
      </c>
      <c r="B11" s="25" t="s">
        <v>46</v>
      </c>
      <c r="C11" s="25" t="s">
        <v>791</v>
      </c>
      <c r="D11" s="25" t="s">
        <v>322</v>
      </c>
      <c r="E11" s="27" t="s">
        <v>781</v>
      </c>
      <c r="F11" s="75">
        <f>shkaf_sekW-2</f>
        <v>776</v>
      </c>
      <c r="G11" s="75">
        <f>shkaf_Dk-zazor_polka</f>
        <v>564</v>
      </c>
      <c r="H11" s="107">
        <f>shkaf_polka*shkaf_soni</f>
        <v>4</v>
      </c>
      <c r="I11" s="42">
        <f t="shared" si="0"/>
        <v>1.750656</v>
      </c>
      <c r="J11" s="108">
        <v>0</v>
      </c>
      <c r="K11" s="108">
        <v>0</v>
      </c>
      <c r="L11" s="108">
        <v>1</v>
      </c>
      <c r="M11" s="108">
        <v>0</v>
      </c>
      <c r="N11" s="42">
        <f t="shared" si="1"/>
        <v>0</v>
      </c>
      <c r="O11" s="42">
        <f t="shared" si="2"/>
        <v>3.1040000000000001</v>
      </c>
      <c r="P11" s="42">
        <f t="shared" si="3"/>
        <v>10.72</v>
      </c>
      <c r="Q11" s="42">
        <f t="shared" si="4"/>
        <v>0</v>
      </c>
      <c r="R11" s="28" t="s">
        <v>792</v>
      </c>
    </row>
    <row r="12" spans="1:18" x14ac:dyDescent="0.25">
      <c r="A12" s="27">
        <v>8</v>
      </c>
      <c r="B12" s="25" t="s">
        <v>46</v>
      </c>
      <c r="C12" s="25" t="s">
        <v>793</v>
      </c>
      <c r="D12" s="25" t="s">
        <v>322</v>
      </c>
      <c r="E12" s="27" t="s">
        <v>785</v>
      </c>
      <c r="F12" s="75">
        <f>shkaf_eshikH</f>
        <v>2117</v>
      </c>
      <c r="G12" s="75">
        <f>shkaf_eshikW</f>
        <v>397</v>
      </c>
      <c r="H12" s="107">
        <f>shkaf_eshik*shkaf_soni</f>
        <v>6</v>
      </c>
      <c r="I12" s="42">
        <f t="shared" si="0"/>
        <v>5.042694</v>
      </c>
      <c r="J12" s="108">
        <v>2</v>
      </c>
      <c r="K12" s="108">
        <v>2</v>
      </c>
      <c r="L12" s="108">
        <v>0</v>
      </c>
      <c r="M12" s="108">
        <v>0</v>
      </c>
      <c r="N12" s="42">
        <f t="shared" si="1"/>
        <v>30.167999999999999</v>
      </c>
      <c r="O12" s="42">
        <f t="shared" si="2"/>
        <v>0</v>
      </c>
      <c r="P12" s="42">
        <f t="shared" si="3"/>
        <v>30.167999999999999</v>
      </c>
      <c r="Q12" s="42">
        <f t="shared" si="4"/>
        <v>10.568076</v>
      </c>
      <c r="R12" s="28" t="s">
        <v>794</v>
      </c>
    </row>
    <row r="13" spans="1:18" x14ac:dyDescent="0.25">
      <c r="A13" s="27">
        <v>9</v>
      </c>
      <c r="B13" s="25" t="s">
        <v>46</v>
      </c>
      <c r="C13" s="25" t="s">
        <v>795</v>
      </c>
      <c r="D13" s="25" t="s">
        <v>796</v>
      </c>
      <c r="E13" s="27" t="s">
        <v>176</v>
      </c>
      <c r="F13" s="75">
        <f>shkaf_oyna_H</f>
        <v>1600</v>
      </c>
      <c r="G13" s="75">
        <f>shkaf_oyna_W</f>
        <v>500</v>
      </c>
      <c r="H13" s="107">
        <f>shkaf_oyna_soni*shkaf_soni</f>
        <v>2</v>
      </c>
      <c r="I13" s="42">
        <f t="shared" si="0"/>
        <v>1.6</v>
      </c>
      <c r="J13" s="108">
        <v>0</v>
      </c>
      <c r="K13" s="108">
        <v>0</v>
      </c>
      <c r="L13" s="108">
        <v>0</v>
      </c>
      <c r="M13" s="108">
        <v>0</v>
      </c>
      <c r="N13" s="42">
        <f t="shared" si="1"/>
        <v>0</v>
      </c>
      <c r="O13" s="42">
        <f t="shared" si="2"/>
        <v>0</v>
      </c>
      <c r="P13" s="42">
        <f t="shared" si="3"/>
        <v>8.4</v>
      </c>
      <c r="Q13" s="42">
        <f t="shared" si="4"/>
        <v>0</v>
      </c>
      <c r="R13" s="28" t="s">
        <v>797</v>
      </c>
    </row>
    <row r="14" spans="1:18" x14ac:dyDescent="0.25">
      <c r="A14" s="27">
        <v>10</v>
      </c>
      <c r="B14" s="25" t="s">
        <v>46</v>
      </c>
      <c r="C14" s="25" t="s">
        <v>798</v>
      </c>
      <c r="D14" s="25" t="s">
        <v>325</v>
      </c>
      <c r="E14" s="27" t="s">
        <v>176</v>
      </c>
      <c r="F14" s="75">
        <f>shkaf_H-zazor_dvp</f>
        <v>2196</v>
      </c>
      <c r="G14" s="75">
        <f>ROUNDDOWN(shkaf_W/shkaf_sek,0)-zazor_dvp</f>
        <v>796</v>
      </c>
      <c r="H14" s="107">
        <f>shkaf_sek*shkaf_soni</f>
        <v>3</v>
      </c>
      <c r="I14" s="42">
        <f t="shared" si="0"/>
        <v>5.2440480000000003</v>
      </c>
      <c r="J14" s="108">
        <v>0</v>
      </c>
      <c r="K14" s="108">
        <v>0</v>
      </c>
      <c r="L14" s="108">
        <v>0</v>
      </c>
      <c r="M14" s="108">
        <v>0</v>
      </c>
      <c r="N14" s="42">
        <f t="shared" si="1"/>
        <v>0</v>
      </c>
      <c r="O14" s="42">
        <f t="shared" si="2"/>
        <v>0</v>
      </c>
      <c r="P14" s="42">
        <f t="shared" si="3"/>
        <v>17.952000000000002</v>
      </c>
      <c r="Q14" s="42">
        <f t="shared" si="4"/>
        <v>0</v>
      </c>
      <c r="R14" s="28" t="s">
        <v>799</v>
      </c>
    </row>
    <row r="15" spans="1:18" ht="25.5" x14ac:dyDescent="0.25">
      <c r="A15" s="27">
        <v>11</v>
      </c>
      <c r="B15" s="25" t="s">
        <v>58</v>
      </c>
      <c r="C15" s="25" t="s">
        <v>800</v>
      </c>
      <c r="D15" s="25" t="s">
        <v>322</v>
      </c>
      <c r="E15" s="27" t="s">
        <v>801</v>
      </c>
      <c r="F15" s="75">
        <f>krovat_W</f>
        <v>1700</v>
      </c>
      <c r="G15" s="75">
        <f>krovat_spinka</f>
        <v>1500</v>
      </c>
      <c r="H15" s="107">
        <f>krovat_soni</f>
        <v>1</v>
      </c>
      <c r="I15" s="42">
        <f t="shared" si="0"/>
        <v>2.5499999999999998</v>
      </c>
      <c r="J15" s="108">
        <v>2</v>
      </c>
      <c r="K15" s="108">
        <v>2</v>
      </c>
      <c r="L15" s="108">
        <v>0</v>
      </c>
      <c r="M15" s="108">
        <v>0</v>
      </c>
      <c r="N15" s="42">
        <f t="shared" si="1"/>
        <v>6.4</v>
      </c>
      <c r="O15" s="42">
        <f t="shared" si="2"/>
        <v>0</v>
      </c>
      <c r="P15" s="42">
        <f t="shared" si="3"/>
        <v>6.4</v>
      </c>
      <c r="Q15" s="42">
        <f t="shared" si="4"/>
        <v>0</v>
      </c>
      <c r="R15" s="28" t="s">
        <v>802</v>
      </c>
    </row>
    <row r="16" spans="1:18" ht="25.5" x14ac:dyDescent="0.25">
      <c r="A16" s="27">
        <v>12</v>
      </c>
      <c r="B16" s="25" t="s">
        <v>58</v>
      </c>
      <c r="C16" s="25" t="s">
        <v>803</v>
      </c>
      <c r="D16" s="25" t="s">
        <v>322</v>
      </c>
      <c r="E16" s="27" t="s">
        <v>801</v>
      </c>
      <c r="F16" s="75">
        <f>figura_W</f>
        <v>1600</v>
      </c>
      <c r="G16" s="75">
        <f>figura_H</f>
        <v>600</v>
      </c>
      <c r="H16" s="107">
        <f>figura_qatlam*krovat_fig*krovat_soni</f>
        <v>1</v>
      </c>
      <c r="I16" s="42">
        <f t="shared" si="0"/>
        <v>0.96</v>
      </c>
      <c r="J16" s="109">
        <f>2*figura_koef</f>
        <v>3</v>
      </c>
      <c r="K16" s="109">
        <f>2*figura_koef</f>
        <v>3</v>
      </c>
      <c r="L16" s="108">
        <v>0</v>
      </c>
      <c r="M16" s="108">
        <v>0</v>
      </c>
      <c r="N16" s="42">
        <f t="shared" si="1"/>
        <v>6.6</v>
      </c>
      <c r="O16" s="42">
        <f t="shared" si="2"/>
        <v>0</v>
      </c>
      <c r="P16" s="42">
        <f t="shared" si="3"/>
        <v>4.4000000000000004</v>
      </c>
      <c r="Q16" s="42">
        <f t="shared" si="4"/>
        <v>0</v>
      </c>
      <c r="R16" s="28" t="s">
        <v>804</v>
      </c>
    </row>
    <row r="17" spans="1:18" ht="25.5" x14ac:dyDescent="0.25">
      <c r="A17" s="27">
        <v>13</v>
      </c>
      <c r="B17" s="25" t="s">
        <v>58</v>
      </c>
      <c r="C17" s="25" t="s">
        <v>805</v>
      </c>
      <c r="D17" s="25" t="s">
        <v>322</v>
      </c>
      <c r="E17" s="27" t="s">
        <v>801</v>
      </c>
      <c r="F17" s="75">
        <f>krovat_W</f>
        <v>1700</v>
      </c>
      <c r="G17" s="75">
        <f>krovat_H</f>
        <v>450</v>
      </c>
      <c r="H17" s="107">
        <f>krovat_soni</f>
        <v>1</v>
      </c>
      <c r="I17" s="42">
        <f t="shared" si="0"/>
        <v>0.76500000000000001</v>
      </c>
      <c r="J17" s="108">
        <v>2</v>
      </c>
      <c r="K17" s="108">
        <v>2</v>
      </c>
      <c r="L17" s="108">
        <v>0</v>
      </c>
      <c r="M17" s="108">
        <v>0</v>
      </c>
      <c r="N17" s="42">
        <f t="shared" si="1"/>
        <v>4.3</v>
      </c>
      <c r="O17" s="42">
        <f t="shared" si="2"/>
        <v>0</v>
      </c>
      <c r="P17" s="42">
        <f t="shared" si="3"/>
        <v>4.3</v>
      </c>
      <c r="Q17" s="42">
        <f t="shared" si="4"/>
        <v>0</v>
      </c>
      <c r="R17" s="28"/>
    </row>
    <row r="18" spans="1:18" ht="25.5" x14ac:dyDescent="0.25">
      <c r="A18" s="27">
        <v>14</v>
      </c>
      <c r="B18" s="25" t="s">
        <v>58</v>
      </c>
      <c r="C18" s="25" t="s">
        <v>806</v>
      </c>
      <c r="D18" s="25" t="s">
        <v>322</v>
      </c>
      <c r="E18" s="27" t="s">
        <v>801</v>
      </c>
      <c r="F18" s="75">
        <f>krovat_ichL</f>
        <v>2168</v>
      </c>
      <c r="G18" s="75">
        <f>krovat_tsarga</f>
        <v>300</v>
      </c>
      <c r="H18" s="107">
        <f>2*krovat_soni</f>
        <v>2</v>
      </c>
      <c r="I18" s="42">
        <f t="shared" si="0"/>
        <v>1.3008</v>
      </c>
      <c r="J18" s="108">
        <v>1</v>
      </c>
      <c r="K18" s="108">
        <v>0</v>
      </c>
      <c r="L18" s="108">
        <v>1</v>
      </c>
      <c r="M18" s="108">
        <v>0</v>
      </c>
      <c r="N18" s="42">
        <f t="shared" si="1"/>
        <v>4.3360000000000003</v>
      </c>
      <c r="O18" s="42">
        <f t="shared" si="2"/>
        <v>4.3360000000000003</v>
      </c>
      <c r="P18" s="42">
        <f t="shared" si="3"/>
        <v>9.8719999999999999</v>
      </c>
      <c r="Q18" s="42">
        <f t="shared" si="4"/>
        <v>0</v>
      </c>
      <c r="R18" s="28" t="s">
        <v>807</v>
      </c>
    </row>
    <row r="19" spans="1:18" ht="25.5" x14ac:dyDescent="0.25">
      <c r="A19" s="27">
        <v>15</v>
      </c>
      <c r="B19" s="25" t="s">
        <v>58</v>
      </c>
      <c r="C19" s="25" t="s">
        <v>808</v>
      </c>
      <c r="D19" s="25" t="s">
        <v>322</v>
      </c>
      <c r="E19" s="27" t="s">
        <v>801</v>
      </c>
      <c r="F19" s="75">
        <f>krovat_ichL</f>
        <v>2168</v>
      </c>
      <c r="G19" s="75">
        <f>krovat_balka</f>
        <v>150</v>
      </c>
      <c r="H19" s="107">
        <f>2*krovat_soni</f>
        <v>2</v>
      </c>
      <c r="I19" s="42">
        <f t="shared" si="0"/>
        <v>0.65039999999999998</v>
      </c>
      <c r="J19" s="108">
        <v>0</v>
      </c>
      <c r="K19" s="108">
        <v>0</v>
      </c>
      <c r="L19" s="108">
        <v>0</v>
      </c>
      <c r="M19" s="108">
        <v>0</v>
      </c>
      <c r="N19" s="42">
        <f t="shared" si="1"/>
        <v>0</v>
      </c>
      <c r="O19" s="42">
        <f t="shared" si="2"/>
        <v>0</v>
      </c>
      <c r="P19" s="42">
        <f t="shared" si="3"/>
        <v>9.2720000000000002</v>
      </c>
      <c r="Q19" s="42">
        <f t="shared" si="4"/>
        <v>0</v>
      </c>
      <c r="R19" s="28" t="s">
        <v>809</v>
      </c>
    </row>
    <row r="20" spans="1:18" x14ac:dyDescent="0.25">
      <c r="A20" s="27">
        <v>16</v>
      </c>
      <c r="B20" s="25" t="s">
        <v>58</v>
      </c>
      <c r="C20" s="25" t="s">
        <v>810</v>
      </c>
      <c r="D20" s="76" t="str">
        <f>IF(krovat_nasos=1,"DSP 16mm (nasosli kapot)","DSP 16mm (oddiy kapot)")</f>
        <v>DSP 16mm (oddiy kapot)</v>
      </c>
      <c r="E20" s="27" t="s">
        <v>176</v>
      </c>
      <c r="F20" s="75">
        <f>krovat_ichL</f>
        <v>2168</v>
      </c>
      <c r="G20" s="75">
        <f>krovat_ichW/2-2</f>
        <v>832</v>
      </c>
      <c r="H20" s="107">
        <f>2*krovat_soni</f>
        <v>2</v>
      </c>
      <c r="I20" s="42">
        <f t="shared" si="0"/>
        <v>3.6075520000000001</v>
      </c>
      <c r="J20" s="110">
        <f>2*krovat_nasos</f>
        <v>0</v>
      </c>
      <c r="K20" s="110">
        <f>2*krovat_nasos</f>
        <v>0</v>
      </c>
      <c r="L20" s="108">
        <v>0</v>
      </c>
      <c r="M20" s="108">
        <v>0</v>
      </c>
      <c r="N20" s="42">
        <f t="shared" si="1"/>
        <v>0</v>
      </c>
      <c r="O20" s="42">
        <f t="shared" si="2"/>
        <v>0</v>
      </c>
      <c r="P20" s="42">
        <f t="shared" si="3"/>
        <v>12</v>
      </c>
      <c r="Q20" s="42">
        <f t="shared" si="4"/>
        <v>0</v>
      </c>
      <c r="R20" s="28" t="s">
        <v>811</v>
      </c>
    </row>
    <row r="21" spans="1:18" x14ac:dyDescent="0.25">
      <c r="A21" s="27">
        <v>17</v>
      </c>
      <c r="B21" s="25" t="s">
        <v>74</v>
      </c>
      <c r="C21" s="25" t="s">
        <v>780</v>
      </c>
      <c r="D21" s="25" t="s">
        <v>322</v>
      </c>
      <c r="E21" s="27" t="s">
        <v>778</v>
      </c>
      <c r="F21" s="75">
        <f>tumba_W</f>
        <v>500</v>
      </c>
      <c r="G21" s="75">
        <f>tumba_D</f>
        <v>400</v>
      </c>
      <c r="H21" s="107">
        <f>tumba_soni</f>
        <v>1</v>
      </c>
      <c r="I21" s="42">
        <f t="shared" si="0"/>
        <v>0.2</v>
      </c>
      <c r="J21" s="108">
        <v>1</v>
      </c>
      <c r="K21" s="108">
        <v>2</v>
      </c>
      <c r="L21" s="108">
        <v>0</v>
      </c>
      <c r="M21" s="108">
        <v>0</v>
      </c>
      <c r="N21" s="42">
        <f t="shared" si="1"/>
        <v>1.3</v>
      </c>
      <c r="O21" s="42">
        <f t="shared" si="2"/>
        <v>0</v>
      </c>
      <c r="P21" s="42">
        <f t="shared" si="3"/>
        <v>1.8</v>
      </c>
      <c r="Q21" s="42">
        <f t="shared" si="4"/>
        <v>0.42880000000000001</v>
      </c>
      <c r="R21" s="28" t="s">
        <v>812</v>
      </c>
    </row>
    <row r="22" spans="1:18" x14ac:dyDescent="0.25">
      <c r="A22" s="27">
        <v>18</v>
      </c>
      <c r="B22" s="25" t="s">
        <v>74</v>
      </c>
      <c r="C22" s="25" t="s">
        <v>777</v>
      </c>
      <c r="D22" s="25" t="s">
        <v>322</v>
      </c>
      <c r="E22" s="27" t="s">
        <v>778</v>
      </c>
      <c r="F22" s="75">
        <f>tumba_H-qal</f>
        <v>584</v>
      </c>
      <c r="G22" s="75">
        <f>tumba_Dk</f>
        <v>384</v>
      </c>
      <c r="H22" s="107">
        <f>2*tumba_soni</f>
        <v>2</v>
      </c>
      <c r="I22" s="42">
        <f t="shared" si="0"/>
        <v>0.44851200000000002</v>
      </c>
      <c r="J22" s="108">
        <v>0</v>
      </c>
      <c r="K22" s="108">
        <v>0</v>
      </c>
      <c r="L22" s="108">
        <v>1</v>
      </c>
      <c r="M22" s="108">
        <v>0</v>
      </c>
      <c r="N22" s="42">
        <f t="shared" si="1"/>
        <v>0</v>
      </c>
      <c r="O22" s="42">
        <f t="shared" si="2"/>
        <v>1.1679999999999999</v>
      </c>
      <c r="P22" s="42">
        <f t="shared" si="3"/>
        <v>3.8719999999999999</v>
      </c>
      <c r="Q22" s="42">
        <f t="shared" si="4"/>
        <v>0.95897600000000005</v>
      </c>
      <c r="R22" s="28" t="s">
        <v>813</v>
      </c>
    </row>
    <row r="23" spans="1:18" x14ac:dyDescent="0.25">
      <c r="A23" s="27">
        <v>19</v>
      </c>
      <c r="B23" s="25" t="s">
        <v>74</v>
      </c>
      <c r="C23" s="25" t="s">
        <v>783</v>
      </c>
      <c r="D23" s="25" t="s">
        <v>322</v>
      </c>
      <c r="E23" s="27" t="s">
        <v>781</v>
      </c>
      <c r="F23" s="75">
        <f>tumba_W-2*qal</f>
        <v>468</v>
      </c>
      <c r="G23" s="75">
        <f>tumba_Dk</f>
        <v>384</v>
      </c>
      <c r="H23" s="107">
        <f>tumba_soni</f>
        <v>1</v>
      </c>
      <c r="I23" s="42">
        <f t="shared" si="0"/>
        <v>0.17971200000000001</v>
      </c>
      <c r="J23" s="108">
        <v>0</v>
      </c>
      <c r="K23" s="108">
        <v>0</v>
      </c>
      <c r="L23" s="108">
        <v>1</v>
      </c>
      <c r="M23" s="108">
        <v>0</v>
      </c>
      <c r="N23" s="42">
        <f t="shared" si="1"/>
        <v>0</v>
      </c>
      <c r="O23" s="42">
        <f t="shared" si="2"/>
        <v>0.46800000000000003</v>
      </c>
      <c r="P23" s="42">
        <f t="shared" si="3"/>
        <v>1.704</v>
      </c>
      <c r="Q23" s="42">
        <f t="shared" si="4"/>
        <v>0</v>
      </c>
      <c r="R23" s="28"/>
    </row>
    <row r="24" spans="1:18" x14ac:dyDescent="0.25">
      <c r="A24" s="27">
        <v>20</v>
      </c>
      <c r="B24" s="25" t="s">
        <v>74</v>
      </c>
      <c r="C24" s="25" t="s">
        <v>369</v>
      </c>
      <c r="D24" s="25" t="s">
        <v>322</v>
      </c>
      <c r="E24" s="27" t="s">
        <v>785</v>
      </c>
      <c r="F24" s="75">
        <f>tumba_W-2*qal</f>
        <v>468</v>
      </c>
      <c r="G24" s="75">
        <f>tsokol</f>
        <v>80</v>
      </c>
      <c r="H24" s="107">
        <f>tumba_soni</f>
        <v>1</v>
      </c>
      <c r="I24" s="42">
        <f t="shared" si="0"/>
        <v>3.7440000000000001E-2</v>
      </c>
      <c r="J24" s="108">
        <v>0</v>
      </c>
      <c r="K24" s="108">
        <v>0</v>
      </c>
      <c r="L24" s="108">
        <v>1</v>
      </c>
      <c r="M24" s="108">
        <v>0</v>
      </c>
      <c r="N24" s="42">
        <f t="shared" si="1"/>
        <v>0</v>
      </c>
      <c r="O24" s="42">
        <f t="shared" si="2"/>
        <v>0.46800000000000003</v>
      </c>
      <c r="P24" s="42">
        <f t="shared" si="3"/>
        <v>1.0960000000000001</v>
      </c>
      <c r="Q24" s="42">
        <f t="shared" si="4"/>
        <v>9.2415999999999998E-2</v>
      </c>
      <c r="R24" s="28"/>
    </row>
    <row r="25" spans="1:18" x14ac:dyDescent="0.25">
      <c r="A25" s="27">
        <v>21</v>
      </c>
      <c r="B25" s="25" t="s">
        <v>74</v>
      </c>
      <c r="C25" s="25" t="s">
        <v>814</v>
      </c>
      <c r="D25" s="25" t="s">
        <v>322</v>
      </c>
      <c r="E25" s="27" t="s">
        <v>785</v>
      </c>
      <c r="F25" s="75">
        <f>tumba_fasW</f>
        <v>497</v>
      </c>
      <c r="G25" s="75">
        <f>tumba_fasH</f>
        <v>249</v>
      </c>
      <c r="H25" s="107">
        <f>tumba_yashik*tumba_soni</f>
        <v>2</v>
      </c>
      <c r="I25" s="42">
        <f t="shared" si="0"/>
        <v>0.247506</v>
      </c>
      <c r="J25" s="108">
        <v>2</v>
      </c>
      <c r="K25" s="108">
        <v>2</v>
      </c>
      <c r="L25" s="108">
        <v>0</v>
      </c>
      <c r="M25" s="108">
        <v>0</v>
      </c>
      <c r="N25" s="42">
        <f t="shared" si="1"/>
        <v>2.984</v>
      </c>
      <c r="O25" s="42">
        <f t="shared" si="2"/>
        <v>0</v>
      </c>
      <c r="P25" s="42">
        <f t="shared" si="3"/>
        <v>2.984</v>
      </c>
      <c r="Q25" s="42">
        <f t="shared" si="4"/>
        <v>0.54275600000000002</v>
      </c>
      <c r="R25" s="28" t="s">
        <v>815</v>
      </c>
    </row>
    <row r="26" spans="1:18" x14ac:dyDescent="0.25">
      <c r="A26" s="27">
        <v>22</v>
      </c>
      <c r="B26" s="25" t="s">
        <v>74</v>
      </c>
      <c r="C26" s="25" t="s">
        <v>816</v>
      </c>
      <c r="D26" s="25" t="s">
        <v>322</v>
      </c>
      <c r="E26" s="27" t="s">
        <v>781</v>
      </c>
      <c r="F26" s="75">
        <f>tumba_naprav</f>
        <v>350</v>
      </c>
      <c r="G26" s="75">
        <f>tumba_qH</f>
        <v>189</v>
      </c>
      <c r="H26" s="107">
        <f>2*tumba_yashik*tumba_soni</f>
        <v>4</v>
      </c>
      <c r="I26" s="42">
        <f t="shared" si="0"/>
        <v>0.2646</v>
      </c>
      <c r="J26" s="108">
        <v>0</v>
      </c>
      <c r="K26" s="108">
        <v>0</v>
      </c>
      <c r="L26" s="108">
        <v>1</v>
      </c>
      <c r="M26" s="108">
        <v>0</v>
      </c>
      <c r="N26" s="42">
        <f t="shared" si="1"/>
        <v>0</v>
      </c>
      <c r="O26" s="42">
        <f t="shared" si="2"/>
        <v>1.4</v>
      </c>
      <c r="P26" s="42">
        <f t="shared" si="3"/>
        <v>4.3120000000000003</v>
      </c>
      <c r="Q26" s="42">
        <f t="shared" si="4"/>
        <v>0</v>
      </c>
      <c r="R26" s="28" t="s">
        <v>817</v>
      </c>
    </row>
    <row r="27" spans="1:18" x14ac:dyDescent="0.25">
      <c r="A27" s="27">
        <v>23</v>
      </c>
      <c r="B27" s="25" t="s">
        <v>74</v>
      </c>
      <c r="C27" s="25" t="s">
        <v>818</v>
      </c>
      <c r="D27" s="25" t="s">
        <v>322</v>
      </c>
      <c r="E27" s="27" t="s">
        <v>781</v>
      </c>
      <c r="F27" s="75">
        <f>tumba_qW-2*qal</f>
        <v>410</v>
      </c>
      <c r="G27" s="75">
        <f>tumba_qH</f>
        <v>189</v>
      </c>
      <c r="H27" s="107">
        <f>2*tumba_yashik*tumba_soni</f>
        <v>4</v>
      </c>
      <c r="I27" s="42">
        <f t="shared" si="0"/>
        <v>0.30996000000000001</v>
      </c>
      <c r="J27" s="108">
        <v>0</v>
      </c>
      <c r="K27" s="108">
        <v>0</v>
      </c>
      <c r="L27" s="108">
        <v>1</v>
      </c>
      <c r="M27" s="108">
        <v>0</v>
      </c>
      <c r="N27" s="42">
        <f t="shared" si="1"/>
        <v>0</v>
      </c>
      <c r="O27" s="42">
        <f t="shared" si="2"/>
        <v>1.64</v>
      </c>
      <c r="P27" s="42">
        <f t="shared" si="3"/>
        <v>4.7919999999999998</v>
      </c>
      <c r="Q27" s="42">
        <f t="shared" si="4"/>
        <v>0</v>
      </c>
      <c r="R27" s="28" t="s">
        <v>817</v>
      </c>
    </row>
    <row r="28" spans="1:18" x14ac:dyDescent="0.25">
      <c r="A28" s="27">
        <v>24</v>
      </c>
      <c r="B28" s="25" t="s">
        <v>74</v>
      </c>
      <c r="C28" s="25" t="s">
        <v>819</v>
      </c>
      <c r="D28" s="25" t="s">
        <v>325</v>
      </c>
      <c r="E28" s="27" t="s">
        <v>176</v>
      </c>
      <c r="F28" s="75">
        <f>tumba_qW</f>
        <v>442</v>
      </c>
      <c r="G28" s="75">
        <f>tumba_naprav</f>
        <v>350</v>
      </c>
      <c r="H28" s="107">
        <f>tumba_yashik*tumba_soni</f>
        <v>2</v>
      </c>
      <c r="I28" s="42">
        <f t="shared" si="0"/>
        <v>0.30940000000000001</v>
      </c>
      <c r="J28" s="108">
        <v>0</v>
      </c>
      <c r="K28" s="108">
        <v>0</v>
      </c>
      <c r="L28" s="108">
        <v>0</v>
      </c>
      <c r="M28" s="108">
        <v>0</v>
      </c>
      <c r="N28" s="42">
        <f t="shared" si="1"/>
        <v>0</v>
      </c>
      <c r="O28" s="42">
        <f t="shared" si="2"/>
        <v>0</v>
      </c>
      <c r="P28" s="42">
        <f t="shared" si="3"/>
        <v>3.1680000000000001</v>
      </c>
      <c r="Q28" s="42">
        <f t="shared" si="4"/>
        <v>0</v>
      </c>
      <c r="R28" s="28"/>
    </row>
    <row r="29" spans="1:18" x14ac:dyDescent="0.25">
      <c r="A29" s="27">
        <v>25</v>
      </c>
      <c r="B29" s="25" t="s">
        <v>74</v>
      </c>
      <c r="C29" s="25" t="s">
        <v>798</v>
      </c>
      <c r="D29" s="25" t="s">
        <v>325</v>
      </c>
      <c r="E29" s="27" t="s">
        <v>176</v>
      </c>
      <c r="F29" s="75">
        <f>tumba_W-zazor_dvp</f>
        <v>496</v>
      </c>
      <c r="G29" s="75">
        <f>tumba_H-qal-zazor_dvp</f>
        <v>580</v>
      </c>
      <c r="H29" s="107">
        <f>tumba_soni</f>
        <v>1</v>
      </c>
      <c r="I29" s="42">
        <f t="shared" si="0"/>
        <v>0.28767999999999999</v>
      </c>
      <c r="J29" s="108">
        <v>0</v>
      </c>
      <c r="K29" s="108">
        <v>0</v>
      </c>
      <c r="L29" s="108">
        <v>0</v>
      </c>
      <c r="M29" s="108">
        <v>0</v>
      </c>
      <c r="N29" s="42">
        <f t="shared" si="1"/>
        <v>0</v>
      </c>
      <c r="O29" s="42">
        <f t="shared" si="2"/>
        <v>0</v>
      </c>
      <c r="P29" s="42">
        <f t="shared" si="3"/>
        <v>2.1520000000000001</v>
      </c>
      <c r="Q29" s="42">
        <f t="shared" si="4"/>
        <v>0</v>
      </c>
      <c r="R29" s="28"/>
    </row>
    <row r="30" spans="1:18" x14ac:dyDescent="0.25">
      <c r="A30" s="27">
        <v>26</v>
      </c>
      <c r="B30" s="25" t="s">
        <v>69</v>
      </c>
      <c r="C30" s="25" t="s">
        <v>780</v>
      </c>
      <c r="D30" s="25" t="s">
        <v>322</v>
      </c>
      <c r="E30" s="27" t="s">
        <v>778</v>
      </c>
      <c r="F30" s="75">
        <f>trimo_W</f>
        <v>1600</v>
      </c>
      <c r="G30" s="75">
        <f>trimo_D</f>
        <v>450</v>
      </c>
      <c r="H30" s="107">
        <f>trimo_soni</f>
        <v>1</v>
      </c>
      <c r="I30" s="42">
        <f t="shared" si="0"/>
        <v>0.72</v>
      </c>
      <c r="J30" s="108">
        <v>1</v>
      </c>
      <c r="K30" s="108">
        <v>2</v>
      </c>
      <c r="L30" s="108">
        <v>0</v>
      </c>
      <c r="M30" s="108">
        <v>0</v>
      </c>
      <c r="N30" s="42">
        <f t="shared" si="1"/>
        <v>2.5</v>
      </c>
      <c r="O30" s="42">
        <f t="shared" si="2"/>
        <v>0</v>
      </c>
      <c r="P30" s="42">
        <f t="shared" si="3"/>
        <v>4.0999999999999996</v>
      </c>
      <c r="Q30" s="42">
        <f t="shared" si="4"/>
        <v>1.5056</v>
      </c>
      <c r="R30" s="28" t="s">
        <v>812</v>
      </c>
    </row>
    <row r="31" spans="1:18" x14ac:dyDescent="0.25">
      <c r="A31" s="27">
        <v>27</v>
      </c>
      <c r="B31" s="25" t="s">
        <v>69</v>
      </c>
      <c r="C31" s="25" t="s">
        <v>777</v>
      </c>
      <c r="D31" s="25" t="s">
        <v>322</v>
      </c>
      <c r="E31" s="27" t="s">
        <v>778</v>
      </c>
      <c r="F31" s="75">
        <f>trimo_H-qal</f>
        <v>814</v>
      </c>
      <c r="G31" s="75">
        <f>trimo_Dk</f>
        <v>434</v>
      </c>
      <c r="H31" s="107">
        <f>2*trimo_soni</f>
        <v>2</v>
      </c>
      <c r="I31" s="42">
        <f t="shared" si="0"/>
        <v>0.70655199999999996</v>
      </c>
      <c r="J31" s="108">
        <v>0</v>
      </c>
      <c r="K31" s="108">
        <v>0</v>
      </c>
      <c r="L31" s="108">
        <v>1</v>
      </c>
      <c r="M31" s="108">
        <v>0</v>
      </c>
      <c r="N31" s="42">
        <f t="shared" si="1"/>
        <v>0</v>
      </c>
      <c r="O31" s="42">
        <f t="shared" si="2"/>
        <v>1.6279999999999999</v>
      </c>
      <c r="P31" s="42">
        <f t="shared" si="3"/>
        <v>4.992</v>
      </c>
      <c r="Q31" s="42">
        <f t="shared" si="4"/>
        <v>1.4929760000000001</v>
      </c>
      <c r="R31" s="28" t="s">
        <v>813</v>
      </c>
    </row>
    <row r="32" spans="1:18" x14ac:dyDescent="0.25">
      <c r="A32" s="27">
        <v>28</v>
      </c>
      <c r="B32" s="25" t="s">
        <v>69</v>
      </c>
      <c r="C32" s="25" t="s">
        <v>783</v>
      </c>
      <c r="D32" s="25" t="s">
        <v>322</v>
      </c>
      <c r="E32" s="27" t="s">
        <v>781</v>
      </c>
      <c r="F32" s="75">
        <f>trimo_W-2*qal</f>
        <v>1568</v>
      </c>
      <c r="G32" s="75">
        <f>trimo_Dk</f>
        <v>434</v>
      </c>
      <c r="H32" s="107">
        <f>trimo_soni</f>
        <v>1</v>
      </c>
      <c r="I32" s="42">
        <f t="shared" si="0"/>
        <v>0.68051200000000001</v>
      </c>
      <c r="J32" s="108">
        <v>0</v>
      </c>
      <c r="K32" s="108">
        <v>0</v>
      </c>
      <c r="L32" s="108">
        <v>1</v>
      </c>
      <c r="M32" s="108">
        <v>0</v>
      </c>
      <c r="N32" s="42">
        <f t="shared" si="1"/>
        <v>0</v>
      </c>
      <c r="O32" s="42">
        <f t="shared" si="2"/>
        <v>1.5680000000000001</v>
      </c>
      <c r="P32" s="42">
        <f t="shared" si="3"/>
        <v>4.0039999999999996</v>
      </c>
      <c r="Q32" s="42">
        <f t="shared" si="4"/>
        <v>0</v>
      </c>
      <c r="R32" s="28"/>
    </row>
    <row r="33" spans="1:18" x14ac:dyDescent="0.25">
      <c r="A33" s="27">
        <v>29</v>
      </c>
      <c r="B33" s="25" t="s">
        <v>69</v>
      </c>
      <c r="C33" s="25" t="s">
        <v>369</v>
      </c>
      <c r="D33" s="25" t="s">
        <v>322</v>
      </c>
      <c r="E33" s="27" t="s">
        <v>785</v>
      </c>
      <c r="F33" s="75">
        <f>trimo_W-2*qal</f>
        <v>1568</v>
      </c>
      <c r="G33" s="75">
        <f>tsokol</f>
        <v>80</v>
      </c>
      <c r="H33" s="107">
        <f>trimo_soni</f>
        <v>1</v>
      </c>
      <c r="I33" s="42">
        <f t="shared" si="0"/>
        <v>0.12544</v>
      </c>
      <c r="J33" s="108">
        <v>0</v>
      </c>
      <c r="K33" s="108">
        <v>0</v>
      </c>
      <c r="L33" s="108">
        <v>1</v>
      </c>
      <c r="M33" s="108">
        <v>0</v>
      </c>
      <c r="N33" s="42">
        <f t="shared" si="1"/>
        <v>0</v>
      </c>
      <c r="O33" s="42">
        <f t="shared" si="2"/>
        <v>1.5680000000000001</v>
      </c>
      <c r="P33" s="42">
        <f t="shared" si="3"/>
        <v>3.2959999999999998</v>
      </c>
      <c r="Q33" s="42">
        <f t="shared" si="4"/>
        <v>0.303616</v>
      </c>
      <c r="R33" s="28"/>
    </row>
    <row r="34" spans="1:18" x14ac:dyDescent="0.25">
      <c r="A34" s="27">
        <v>30</v>
      </c>
      <c r="B34" s="25" t="s">
        <v>69</v>
      </c>
      <c r="C34" s="25" t="s">
        <v>787</v>
      </c>
      <c r="D34" s="25" t="s">
        <v>322</v>
      </c>
      <c r="E34" s="27" t="s">
        <v>781</v>
      </c>
      <c r="F34" s="75">
        <f>trimo_H-2*qal-tsokol</f>
        <v>718</v>
      </c>
      <c r="G34" s="75">
        <f>trimo_Dk</f>
        <v>434</v>
      </c>
      <c r="H34" s="107">
        <f>2*trimo_soni</f>
        <v>2</v>
      </c>
      <c r="I34" s="42">
        <f t="shared" si="0"/>
        <v>0.623224</v>
      </c>
      <c r="J34" s="108">
        <v>0</v>
      </c>
      <c r="K34" s="108">
        <v>0</v>
      </c>
      <c r="L34" s="108">
        <v>1</v>
      </c>
      <c r="M34" s="108">
        <v>0</v>
      </c>
      <c r="N34" s="42">
        <f t="shared" si="1"/>
        <v>0</v>
      </c>
      <c r="O34" s="42">
        <f t="shared" si="2"/>
        <v>1.4359999999999999</v>
      </c>
      <c r="P34" s="42">
        <f t="shared" si="3"/>
        <v>4.6079999999999997</v>
      </c>
      <c r="Q34" s="42">
        <f t="shared" si="4"/>
        <v>0</v>
      </c>
      <c r="R34" s="28" t="s">
        <v>820</v>
      </c>
    </row>
    <row r="35" spans="1:18" x14ac:dyDescent="0.25">
      <c r="A35" s="27">
        <v>31</v>
      </c>
      <c r="B35" s="25" t="s">
        <v>69</v>
      </c>
      <c r="C35" s="25" t="s">
        <v>821</v>
      </c>
      <c r="D35" s="25" t="s">
        <v>322</v>
      </c>
      <c r="E35" s="27" t="s">
        <v>781</v>
      </c>
      <c r="F35" s="75">
        <f>trimo_sekW-2</f>
        <v>510</v>
      </c>
      <c r="G35" s="75">
        <f>trimo_Dk-zazor_polka</f>
        <v>414</v>
      </c>
      <c r="H35" s="107">
        <f>2*trimo_soni</f>
        <v>2</v>
      </c>
      <c r="I35" s="42">
        <f t="shared" si="0"/>
        <v>0.42227999999999999</v>
      </c>
      <c r="J35" s="108">
        <v>0</v>
      </c>
      <c r="K35" s="108">
        <v>0</v>
      </c>
      <c r="L35" s="108">
        <v>1</v>
      </c>
      <c r="M35" s="108">
        <v>0</v>
      </c>
      <c r="N35" s="42">
        <f t="shared" si="1"/>
        <v>0</v>
      </c>
      <c r="O35" s="42">
        <f t="shared" si="2"/>
        <v>1.02</v>
      </c>
      <c r="P35" s="42">
        <f t="shared" si="3"/>
        <v>3.6960000000000002</v>
      </c>
      <c r="Q35" s="42">
        <f t="shared" si="4"/>
        <v>0</v>
      </c>
      <c r="R35" s="28"/>
    </row>
    <row r="36" spans="1:18" x14ac:dyDescent="0.25">
      <c r="A36" s="27">
        <v>32</v>
      </c>
      <c r="B36" s="25" t="s">
        <v>69</v>
      </c>
      <c r="C36" s="25" t="s">
        <v>793</v>
      </c>
      <c r="D36" s="25" t="s">
        <v>322</v>
      </c>
      <c r="E36" s="27" t="s">
        <v>785</v>
      </c>
      <c r="F36" s="75">
        <f>trimo_eshikH</f>
        <v>731</v>
      </c>
      <c r="G36" s="75">
        <f>trimo_fasW</f>
        <v>530</v>
      </c>
      <c r="H36" s="107">
        <f>2*trimo_soni</f>
        <v>2</v>
      </c>
      <c r="I36" s="42">
        <f t="shared" si="0"/>
        <v>0.77485999999999999</v>
      </c>
      <c r="J36" s="108">
        <v>2</v>
      </c>
      <c r="K36" s="108">
        <v>2</v>
      </c>
      <c r="L36" s="108">
        <v>0</v>
      </c>
      <c r="M36" s="108">
        <v>0</v>
      </c>
      <c r="N36" s="42">
        <f t="shared" si="1"/>
        <v>5.0439999999999996</v>
      </c>
      <c r="O36" s="42">
        <f t="shared" si="2"/>
        <v>0</v>
      </c>
      <c r="P36" s="42">
        <f t="shared" si="3"/>
        <v>5.0439999999999996</v>
      </c>
      <c r="Q36" s="42">
        <f t="shared" si="4"/>
        <v>1.6304240000000001</v>
      </c>
      <c r="R36" s="28" t="s">
        <v>815</v>
      </c>
    </row>
    <row r="37" spans="1:18" x14ac:dyDescent="0.25">
      <c r="A37" s="27">
        <v>33</v>
      </c>
      <c r="B37" s="25" t="s">
        <v>69</v>
      </c>
      <c r="C37" s="25" t="s">
        <v>814</v>
      </c>
      <c r="D37" s="25" t="s">
        <v>322</v>
      </c>
      <c r="E37" s="27" t="s">
        <v>785</v>
      </c>
      <c r="F37" s="75">
        <f>trimo_fasW</f>
        <v>530</v>
      </c>
      <c r="G37" s="75">
        <f>trimo_fasH</f>
        <v>241</v>
      </c>
      <c r="H37" s="107">
        <f>trimo_yashik*trimo_soni</f>
        <v>3</v>
      </c>
      <c r="I37" s="42">
        <f t="shared" ref="I37:I68" si="5">F37*G37*H37/1000000</f>
        <v>0.38318999999999998</v>
      </c>
      <c r="J37" s="108">
        <v>2</v>
      </c>
      <c r="K37" s="108">
        <v>2</v>
      </c>
      <c r="L37" s="108">
        <v>0</v>
      </c>
      <c r="M37" s="108">
        <v>0</v>
      </c>
      <c r="N37" s="42">
        <f t="shared" ref="N37:N58" si="6">H37*(F37*J37+G37*K37)/1000</f>
        <v>4.6260000000000003</v>
      </c>
      <c r="O37" s="42">
        <f t="shared" ref="O37:O58" si="7">H37*(F37*L37+G37*M37)/1000</f>
        <v>0</v>
      </c>
      <c r="P37" s="42">
        <f t="shared" ref="P37:P58" si="8">2*(F37+G37)*H37/1000</f>
        <v>4.6260000000000003</v>
      </c>
      <c r="Q37" s="42">
        <f t="shared" ref="Q37:Q58" si="9">IF(OR(E37="Yuz",E37="Yon"),H37*(F37*G37*IF(E37="Yuz",fasad_tomon,korpus_tomon)+2*(F37+G37)*qal)/1000000,0)</f>
        <v>0.84039600000000003</v>
      </c>
      <c r="R37" s="28" t="s">
        <v>815</v>
      </c>
    </row>
    <row r="38" spans="1:18" x14ac:dyDescent="0.25">
      <c r="A38" s="27">
        <v>34</v>
      </c>
      <c r="B38" s="25" t="s">
        <v>69</v>
      </c>
      <c r="C38" s="25" t="s">
        <v>816</v>
      </c>
      <c r="D38" s="25" t="s">
        <v>322</v>
      </c>
      <c r="E38" s="27" t="s">
        <v>781</v>
      </c>
      <c r="F38" s="75">
        <f>trimo_naprav</f>
        <v>400</v>
      </c>
      <c r="G38" s="75">
        <f>trimo_qH</f>
        <v>181</v>
      </c>
      <c r="H38" s="107">
        <f>2*trimo_yashik*trimo_soni</f>
        <v>6</v>
      </c>
      <c r="I38" s="42">
        <f t="shared" si="5"/>
        <v>0.43440000000000001</v>
      </c>
      <c r="J38" s="108">
        <v>0</v>
      </c>
      <c r="K38" s="108">
        <v>0</v>
      </c>
      <c r="L38" s="108">
        <v>1</v>
      </c>
      <c r="M38" s="108">
        <v>0</v>
      </c>
      <c r="N38" s="42">
        <f t="shared" si="6"/>
        <v>0</v>
      </c>
      <c r="O38" s="42">
        <f t="shared" si="7"/>
        <v>2.4</v>
      </c>
      <c r="P38" s="42">
        <f t="shared" si="8"/>
        <v>6.9720000000000004</v>
      </c>
      <c r="Q38" s="42">
        <f t="shared" si="9"/>
        <v>0</v>
      </c>
      <c r="R38" s="28" t="s">
        <v>817</v>
      </c>
    </row>
    <row r="39" spans="1:18" x14ac:dyDescent="0.25">
      <c r="A39" s="27">
        <v>35</v>
      </c>
      <c r="B39" s="25" t="s">
        <v>69</v>
      </c>
      <c r="C39" s="25" t="s">
        <v>818</v>
      </c>
      <c r="D39" s="25" t="s">
        <v>322</v>
      </c>
      <c r="E39" s="27" t="s">
        <v>781</v>
      </c>
      <c r="F39" s="75">
        <f>trimo_qW-2*qal</f>
        <v>454</v>
      </c>
      <c r="G39" s="75">
        <f>trimo_qH</f>
        <v>181</v>
      </c>
      <c r="H39" s="107">
        <f>2*trimo_yashik*trimo_soni</f>
        <v>6</v>
      </c>
      <c r="I39" s="42">
        <f t="shared" si="5"/>
        <v>0.49304399999999998</v>
      </c>
      <c r="J39" s="108">
        <v>0</v>
      </c>
      <c r="K39" s="108">
        <v>0</v>
      </c>
      <c r="L39" s="108">
        <v>1</v>
      </c>
      <c r="M39" s="108">
        <v>0</v>
      </c>
      <c r="N39" s="42">
        <f t="shared" si="6"/>
        <v>0</v>
      </c>
      <c r="O39" s="42">
        <f t="shared" si="7"/>
        <v>2.7240000000000002</v>
      </c>
      <c r="P39" s="42">
        <f t="shared" si="8"/>
        <v>7.62</v>
      </c>
      <c r="Q39" s="42">
        <f t="shared" si="9"/>
        <v>0</v>
      </c>
      <c r="R39" s="28" t="s">
        <v>817</v>
      </c>
    </row>
    <row r="40" spans="1:18" x14ac:dyDescent="0.25">
      <c r="A40" s="27">
        <v>36</v>
      </c>
      <c r="B40" s="25" t="s">
        <v>69</v>
      </c>
      <c r="C40" s="25" t="s">
        <v>819</v>
      </c>
      <c r="D40" s="25" t="s">
        <v>325</v>
      </c>
      <c r="E40" s="27" t="s">
        <v>176</v>
      </c>
      <c r="F40" s="75">
        <f>trimo_qW</f>
        <v>486</v>
      </c>
      <c r="G40" s="75">
        <f>trimo_naprav</f>
        <v>400</v>
      </c>
      <c r="H40" s="107">
        <f>trimo_yashik*trimo_soni</f>
        <v>3</v>
      </c>
      <c r="I40" s="42">
        <f t="shared" si="5"/>
        <v>0.58320000000000005</v>
      </c>
      <c r="J40" s="108">
        <v>0</v>
      </c>
      <c r="K40" s="108">
        <v>0</v>
      </c>
      <c r="L40" s="108">
        <v>0</v>
      </c>
      <c r="M40" s="108">
        <v>0</v>
      </c>
      <c r="N40" s="42">
        <f t="shared" si="6"/>
        <v>0</v>
      </c>
      <c r="O40" s="42">
        <f t="shared" si="7"/>
        <v>0</v>
      </c>
      <c r="P40" s="42">
        <f t="shared" si="8"/>
        <v>5.3159999999999998</v>
      </c>
      <c r="Q40" s="42">
        <f t="shared" si="9"/>
        <v>0</v>
      </c>
      <c r="R40" s="28"/>
    </row>
    <row r="41" spans="1:18" x14ac:dyDescent="0.25">
      <c r="A41" s="27">
        <v>37</v>
      </c>
      <c r="B41" s="25" t="s">
        <v>69</v>
      </c>
      <c r="C41" s="25" t="s">
        <v>798</v>
      </c>
      <c r="D41" s="25" t="s">
        <v>325</v>
      </c>
      <c r="E41" s="27" t="s">
        <v>176</v>
      </c>
      <c r="F41" s="75">
        <f>trimo_W-zazor_dvp</f>
        <v>1596</v>
      </c>
      <c r="G41" s="75">
        <f>trimo_H-qal-zazor_dvp</f>
        <v>810</v>
      </c>
      <c r="H41" s="107">
        <f>trimo_soni</f>
        <v>1</v>
      </c>
      <c r="I41" s="42">
        <f t="shared" si="5"/>
        <v>1.2927599999999999</v>
      </c>
      <c r="J41" s="108">
        <v>0</v>
      </c>
      <c r="K41" s="108">
        <v>0</v>
      </c>
      <c r="L41" s="108">
        <v>0</v>
      </c>
      <c r="M41" s="108">
        <v>0</v>
      </c>
      <c r="N41" s="42">
        <f t="shared" si="6"/>
        <v>0</v>
      </c>
      <c r="O41" s="42">
        <f t="shared" si="7"/>
        <v>0</v>
      </c>
      <c r="P41" s="42">
        <f t="shared" si="8"/>
        <v>4.8120000000000003</v>
      </c>
      <c r="Q41" s="42">
        <f t="shared" si="9"/>
        <v>0</v>
      </c>
      <c r="R41" s="28"/>
    </row>
    <row r="42" spans="1:18" x14ac:dyDescent="0.25">
      <c r="A42" s="27">
        <v>38</v>
      </c>
      <c r="B42" s="25" t="s">
        <v>77</v>
      </c>
      <c r="C42" s="25" t="s">
        <v>780</v>
      </c>
      <c r="D42" s="25" t="s">
        <v>322</v>
      </c>
      <c r="E42" s="27" t="s">
        <v>778</v>
      </c>
      <c r="F42" s="75">
        <f>chest_W</f>
        <v>800</v>
      </c>
      <c r="G42" s="75">
        <f>chest_D</f>
        <v>500</v>
      </c>
      <c r="H42" s="107">
        <f>chest_soni</f>
        <v>1</v>
      </c>
      <c r="I42" s="42">
        <f t="shared" si="5"/>
        <v>0.4</v>
      </c>
      <c r="J42" s="108">
        <v>1</v>
      </c>
      <c r="K42" s="108">
        <v>2</v>
      </c>
      <c r="L42" s="108">
        <v>0</v>
      </c>
      <c r="M42" s="108">
        <v>0</v>
      </c>
      <c r="N42" s="42">
        <f t="shared" si="6"/>
        <v>1.8</v>
      </c>
      <c r="O42" s="42">
        <f t="shared" si="7"/>
        <v>0</v>
      </c>
      <c r="P42" s="42">
        <f t="shared" si="8"/>
        <v>2.6</v>
      </c>
      <c r="Q42" s="42">
        <f t="shared" si="9"/>
        <v>0.84160000000000001</v>
      </c>
      <c r="R42" s="28" t="s">
        <v>812</v>
      </c>
    </row>
    <row r="43" spans="1:18" x14ac:dyDescent="0.25">
      <c r="A43" s="27">
        <v>39</v>
      </c>
      <c r="B43" s="25" t="s">
        <v>77</v>
      </c>
      <c r="C43" s="25" t="s">
        <v>777</v>
      </c>
      <c r="D43" s="25" t="s">
        <v>322</v>
      </c>
      <c r="E43" s="27" t="s">
        <v>778</v>
      </c>
      <c r="F43" s="75">
        <f>chest_H-qal</f>
        <v>984</v>
      </c>
      <c r="G43" s="75">
        <f>chest_Dk</f>
        <v>484</v>
      </c>
      <c r="H43" s="107">
        <f>2*chest_soni</f>
        <v>2</v>
      </c>
      <c r="I43" s="42">
        <f t="shared" si="5"/>
        <v>0.95251200000000003</v>
      </c>
      <c r="J43" s="108">
        <v>0</v>
      </c>
      <c r="K43" s="108">
        <v>0</v>
      </c>
      <c r="L43" s="108">
        <v>1</v>
      </c>
      <c r="M43" s="108">
        <v>0</v>
      </c>
      <c r="N43" s="42">
        <f t="shared" si="6"/>
        <v>0</v>
      </c>
      <c r="O43" s="42">
        <f t="shared" si="7"/>
        <v>1.968</v>
      </c>
      <c r="P43" s="42">
        <f t="shared" si="8"/>
        <v>5.8719999999999999</v>
      </c>
      <c r="Q43" s="42">
        <f t="shared" si="9"/>
        <v>1.9989760000000001</v>
      </c>
      <c r="R43" s="28" t="s">
        <v>813</v>
      </c>
    </row>
    <row r="44" spans="1:18" x14ac:dyDescent="0.25">
      <c r="A44" s="27">
        <v>40</v>
      </c>
      <c r="B44" s="25" t="s">
        <v>77</v>
      </c>
      <c r="C44" s="25" t="s">
        <v>783</v>
      </c>
      <c r="D44" s="25" t="s">
        <v>322</v>
      </c>
      <c r="E44" s="27" t="s">
        <v>781</v>
      </c>
      <c r="F44" s="75">
        <f>chest_W-2*qal</f>
        <v>768</v>
      </c>
      <c r="G44" s="75">
        <f>chest_Dk</f>
        <v>484</v>
      </c>
      <c r="H44" s="107">
        <f>chest_soni</f>
        <v>1</v>
      </c>
      <c r="I44" s="42">
        <f t="shared" si="5"/>
        <v>0.37171199999999999</v>
      </c>
      <c r="J44" s="108">
        <v>0</v>
      </c>
      <c r="K44" s="108">
        <v>0</v>
      </c>
      <c r="L44" s="108">
        <v>1</v>
      </c>
      <c r="M44" s="108">
        <v>0</v>
      </c>
      <c r="N44" s="42">
        <f t="shared" si="6"/>
        <v>0</v>
      </c>
      <c r="O44" s="42">
        <f t="shared" si="7"/>
        <v>0.76800000000000002</v>
      </c>
      <c r="P44" s="42">
        <f t="shared" si="8"/>
        <v>2.504</v>
      </c>
      <c r="Q44" s="42">
        <f t="shared" si="9"/>
        <v>0</v>
      </c>
      <c r="R44" s="28"/>
    </row>
    <row r="45" spans="1:18" x14ac:dyDescent="0.25">
      <c r="A45" s="27">
        <v>41</v>
      </c>
      <c r="B45" s="25" t="s">
        <v>77</v>
      </c>
      <c r="C45" s="25" t="s">
        <v>369</v>
      </c>
      <c r="D45" s="25" t="s">
        <v>322</v>
      </c>
      <c r="E45" s="27" t="s">
        <v>785</v>
      </c>
      <c r="F45" s="75">
        <f>chest_W-2*qal</f>
        <v>768</v>
      </c>
      <c r="G45" s="75">
        <f>tsokol</f>
        <v>80</v>
      </c>
      <c r="H45" s="107">
        <f>chest_soni</f>
        <v>1</v>
      </c>
      <c r="I45" s="42">
        <f t="shared" si="5"/>
        <v>6.1440000000000002E-2</v>
      </c>
      <c r="J45" s="108">
        <v>0</v>
      </c>
      <c r="K45" s="108">
        <v>0</v>
      </c>
      <c r="L45" s="108">
        <v>1</v>
      </c>
      <c r="M45" s="108">
        <v>0</v>
      </c>
      <c r="N45" s="42">
        <f t="shared" si="6"/>
        <v>0</v>
      </c>
      <c r="O45" s="42">
        <f t="shared" si="7"/>
        <v>0.76800000000000002</v>
      </c>
      <c r="P45" s="42">
        <f t="shared" si="8"/>
        <v>1.696</v>
      </c>
      <c r="Q45" s="42">
        <f t="shared" si="9"/>
        <v>0.15001600000000001</v>
      </c>
      <c r="R45" s="28"/>
    </row>
    <row r="46" spans="1:18" x14ac:dyDescent="0.25">
      <c r="A46" s="27">
        <v>42</v>
      </c>
      <c r="B46" s="25" t="s">
        <v>77</v>
      </c>
      <c r="C46" s="25" t="s">
        <v>814</v>
      </c>
      <c r="D46" s="25" t="s">
        <v>322</v>
      </c>
      <c r="E46" s="27" t="s">
        <v>785</v>
      </c>
      <c r="F46" s="75">
        <f>chest_fasW</f>
        <v>797</v>
      </c>
      <c r="G46" s="75">
        <f>chest_fasH</f>
        <v>223</v>
      </c>
      <c r="H46" s="107">
        <f>chest_yashik*chest_soni</f>
        <v>4</v>
      </c>
      <c r="I46" s="42">
        <f t="shared" si="5"/>
        <v>0.710924</v>
      </c>
      <c r="J46" s="108">
        <v>2</v>
      </c>
      <c r="K46" s="108">
        <v>2</v>
      </c>
      <c r="L46" s="108">
        <v>0</v>
      </c>
      <c r="M46" s="108">
        <v>0</v>
      </c>
      <c r="N46" s="42">
        <f t="shared" si="6"/>
        <v>8.16</v>
      </c>
      <c r="O46" s="42">
        <f t="shared" si="7"/>
        <v>0</v>
      </c>
      <c r="P46" s="42">
        <f t="shared" si="8"/>
        <v>8.16</v>
      </c>
      <c r="Q46" s="42">
        <f t="shared" si="9"/>
        <v>1.552408</v>
      </c>
      <c r="R46" s="28" t="s">
        <v>815</v>
      </c>
    </row>
    <row r="47" spans="1:18" x14ac:dyDescent="0.25">
      <c r="A47" s="27">
        <v>43</v>
      </c>
      <c r="B47" s="25" t="s">
        <v>77</v>
      </c>
      <c r="C47" s="25" t="s">
        <v>816</v>
      </c>
      <c r="D47" s="25" t="s">
        <v>322</v>
      </c>
      <c r="E47" s="27" t="s">
        <v>781</v>
      </c>
      <c r="F47" s="75">
        <f>chest_naprav</f>
        <v>450</v>
      </c>
      <c r="G47" s="75">
        <f>chest_qH</f>
        <v>163</v>
      </c>
      <c r="H47" s="107">
        <f>2*chest_yashik*chest_soni</f>
        <v>8</v>
      </c>
      <c r="I47" s="42">
        <f t="shared" si="5"/>
        <v>0.58679999999999999</v>
      </c>
      <c r="J47" s="108">
        <v>0</v>
      </c>
      <c r="K47" s="108">
        <v>0</v>
      </c>
      <c r="L47" s="108">
        <v>1</v>
      </c>
      <c r="M47" s="108">
        <v>0</v>
      </c>
      <c r="N47" s="42">
        <f t="shared" si="6"/>
        <v>0</v>
      </c>
      <c r="O47" s="42">
        <f t="shared" si="7"/>
        <v>3.6</v>
      </c>
      <c r="P47" s="42">
        <f t="shared" si="8"/>
        <v>9.8079999999999998</v>
      </c>
      <c r="Q47" s="42">
        <f t="shared" si="9"/>
        <v>0</v>
      </c>
      <c r="R47" s="28" t="s">
        <v>817</v>
      </c>
    </row>
    <row r="48" spans="1:18" x14ac:dyDescent="0.25">
      <c r="A48" s="27">
        <v>44</v>
      </c>
      <c r="B48" s="25" t="s">
        <v>77</v>
      </c>
      <c r="C48" s="25" t="s">
        <v>818</v>
      </c>
      <c r="D48" s="25" t="s">
        <v>322</v>
      </c>
      <c r="E48" s="27" t="s">
        <v>781</v>
      </c>
      <c r="F48" s="75">
        <f>chest_qW-2*qal</f>
        <v>710</v>
      </c>
      <c r="G48" s="75">
        <f>chest_qH</f>
        <v>163</v>
      </c>
      <c r="H48" s="107">
        <f>2*chest_yashik*chest_soni</f>
        <v>8</v>
      </c>
      <c r="I48" s="42">
        <f t="shared" si="5"/>
        <v>0.92584</v>
      </c>
      <c r="J48" s="108">
        <v>0</v>
      </c>
      <c r="K48" s="108">
        <v>0</v>
      </c>
      <c r="L48" s="108">
        <v>1</v>
      </c>
      <c r="M48" s="108">
        <v>0</v>
      </c>
      <c r="N48" s="42">
        <f t="shared" si="6"/>
        <v>0</v>
      </c>
      <c r="O48" s="42">
        <f t="shared" si="7"/>
        <v>5.68</v>
      </c>
      <c r="P48" s="42">
        <f t="shared" si="8"/>
        <v>13.968</v>
      </c>
      <c r="Q48" s="42">
        <f t="shared" si="9"/>
        <v>0</v>
      </c>
      <c r="R48" s="28" t="s">
        <v>817</v>
      </c>
    </row>
    <row r="49" spans="1:18" x14ac:dyDescent="0.25">
      <c r="A49" s="27">
        <v>45</v>
      </c>
      <c r="B49" s="25" t="s">
        <v>77</v>
      </c>
      <c r="C49" s="25" t="s">
        <v>819</v>
      </c>
      <c r="D49" s="25" t="s">
        <v>325</v>
      </c>
      <c r="E49" s="27" t="s">
        <v>176</v>
      </c>
      <c r="F49" s="75">
        <f>chest_qW</f>
        <v>742</v>
      </c>
      <c r="G49" s="75">
        <f>chest_naprav</f>
        <v>450</v>
      </c>
      <c r="H49" s="107">
        <f>chest_yashik*chest_soni</f>
        <v>4</v>
      </c>
      <c r="I49" s="42">
        <f t="shared" si="5"/>
        <v>1.3355999999999999</v>
      </c>
      <c r="J49" s="108">
        <v>0</v>
      </c>
      <c r="K49" s="108">
        <v>0</v>
      </c>
      <c r="L49" s="108">
        <v>0</v>
      </c>
      <c r="M49" s="108">
        <v>0</v>
      </c>
      <c r="N49" s="42">
        <f t="shared" si="6"/>
        <v>0</v>
      </c>
      <c r="O49" s="42">
        <f t="shared" si="7"/>
        <v>0</v>
      </c>
      <c r="P49" s="42">
        <f t="shared" si="8"/>
        <v>9.5359999999999996</v>
      </c>
      <c r="Q49" s="42">
        <f t="shared" si="9"/>
        <v>0</v>
      </c>
      <c r="R49" s="28"/>
    </row>
    <row r="50" spans="1:18" x14ac:dyDescent="0.25">
      <c r="A50" s="27">
        <v>46</v>
      </c>
      <c r="B50" s="25" t="s">
        <v>77</v>
      </c>
      <c r="C50" s="25" t="s">
        <v>798</v>
      </c>
      <c r="D50" s="25" t="s">
        <v>325</v>
      </c>
      <c r="E50" s="27" t="s">
        <v>176</v>
      </c>
      <c r="F50" s="75">
        <f>chest_W-zazor_dvp</f>
        <v>796</v>
      </c>
      <c r="G50" s="75">
        <f>chest_H-qal-zazor_dvp</f>
        <v>980</v>
      </c>
      <c r="H50" s="107">
        <f>chest_soni</f>
        <v>1</v>
      </c>
      <c r="I50" s="42">
        <f t="shared" si="5"/>
        <v>0.78008</v>
      </c>
      <c r="J50" s="108">
        <v>0</v>
      </c>
      <c r="K50" s="108">
        <v>0</v>
      </c>
      <c r="L50" s="108">
        <v>0</v>
      </c>
      <c r="M50" s="108">
        <v>0</v>
      </c>
      <c r="N50" s="42">
        <f t="shared" si="6"/>
        <v>0</v>
      </c>
      <c r="O50" s="42">
        <f t="shared" si="7"/>
        <v>0</v>
      </c>
      <c r="P50" s="42">
        <f t="shared" si="8"/>
        <v>3.552</v>
      </c>
      <c r="Q50" s="42">
        <f t="shared" si="9"/>
        <v>0</v>
      </c>
      <c r="R50" s="28"/>
    </row>
    <row r="51" spans="1:18" ht="25.5" x14ac:dyDescent="0.25">
      <c r="A51" s="27">
        <v>47</v>
      </c>
      <c r="B51" s="25" t="s">
        <v>79</v>
      </c>
      <c r="C51" s="25" t="s">
        <v>822</v>
      </c>
      <c r="D51" s="25" t="s">
        <v>322</v>
      </c>
      <c r="E51" s="27" t="s">
        <v>801</v>
      </c>
      <c r="F51" s="75">
        <f>pufik_W</f>
        <v>400</v>
      </c>
      <c r="G51" s="75">
        <f>pufik_W</f>
        <v>400</v>
      </c>
      <c r="H51" s="107">
        <f>pufik_soni</f>
        <v>1</v>
      </c>
      <c r="I51" s="42">
        <f t="shared" si="5"/>
        <v>0.16</v>
      </c>
      <c r="J51" s="108">
        <v>0</v>
      </c>
      <c r="K51" s="108">
        <v>0</v>
      </c>
      <c r="L51" s="108">
        <v>0</v>
      </c>
      <c r="M51" s="108">
        <v>0</v>
      </c>
      <c r="N51" s="42">
        <f t="shared" si="6"/>
        <v>0</v>
      </c>
      <c r="O51" s="42">
        <f t="shared" si="7"/>
        <v>0</v>
      </c>
      <c r="P51" s="42">
        <f t="shared" si="8"/>
        <v>1.6</v>
      </c>
      <c r="Q51" s="42">
        <f t="shared" si="9"/>
        <v>0</v>
      </c>
      <c r="R51" s="28" t="s">
        <v>823</v>
      </c>
    </row>
    <row r="52" spans="1:18" ht="25.5" x14ac:dyDescent="0.25">
      <c r="A52" s="27">
        <v>48</v>
      </c>
      <c r="B52" s="25" t="s">
        <v>79</v>
      </c>
      <c r="C52" s="25" t="s">
        <v>824</v>
      </c>
      <c r="D52" s="25" t="s">
        <v>322</v>
      </c>
      <c r="E52" s="27" t="s">
        <v>801</v>
      </c>
      <c r="F52" s="75">
        <f>pufik_W</f>
        <v>400</v>
      </c>
      <c r="G52" s="75">
        <f>pufik_qutiH</f>
        <v>350</v>
      </c>
      <c r="H52" s="107">
        <f>2*pufik_soni</f>
        <v>2</v>
      </c>
      <c r="I52" s="42">
        <f t="shared" si="5"/>
        <v>0.28000000000000003</v>
      </c>
      <c r="J52" s="108">
        <v>0</v>
      </c>
      <c r="K52" s="108">
        <v>0</v>
      </c>
      <c r="L52" s="108">
        <v>0</v>
      </c>
      <c r="M52" s="108">
        <v>0</v>
      </c>
      <c r="N52" s="42">
        <f t="shared" si="6"/>
        <v>0</v>
      </c>
      <c r="O52" s="42">
        <f t="shared" si="7"/>
        <v>0</v>
      </c>
      <c r="P52" s="42">
        <f t="shared" si="8"/>
        <v>3</v>
      </c>
      <c r="Q52" s="42">
        <f t="shared" si="9"/>
        <v>0</v>
      </c>
      <c r="R52" s="28" t="s">
        <v>825</v>
      </c>
    </row>
    <row r="53" spans="1:18" ht="25.5" x14ac:dyDescent="0.25">
      <c r="A53" s="27">
        <v>49</v>
      </c>
      <c r="B53" s="25" t="s">
        <v>79</v>
      </c>
      <c r="C53" s="25" t="s">
        <v>826</v>
      </c>
      <c r="D53" s="25" t="s">
        <v>322</v>
      </c>
      <c r="E53" s="27" t="s">
        <v>801</v>
      </c>
      <c r="F53" s="75">
        <f>pufik_W-2*qal</f>
        <v>368</v>
      </c>
      <c r="G53" s="75">
        <f>pufik_qutiH</f>
        <v>350</v>
      </c>
      <c r="H53" s="107">
        <f>2*pufik_soni</f>
        <v>2</v>
      </c>
      <c r="I53" s="42">
        <f t="shared" si="5"/>
        <v>0.2576</v>
      </c>
      <c r="J53" s="108">
        <v>0</v>
      </c>
      <c r="K53" s="108">
        <v>0</v>
      </c>
      <c r="L53" s="108">
        <v>0</v>
      </c>
      <c r="M53" s="108">
        <v>0</v>
      </c>
      <c r="N53" s="42">
        <f t="shared" si="6"/>
        <v>0</v>
      </c>
      <c r="O53" s="42">
        <f t="shared" si="7"/>
        <v>0</v>
      </c>
      <c r="P53" s="42">
        <f t="shared" si="8"/>
        <v>2.8719999999999999</v>
      </c>
      <c r="Q53" s="42">
        <f t="shared" si="9"/>
        <v>0</v>
      </c>
      <c r="R53" s="28" t="s">
        <v>825</v>
      </c>
    </row>
    <row r="54" spans="1:18" x14ac:dyDescent="0.25">
      <c r="A54" s="27">
        <v>50</v>
      </c>
      <c r="B54" s="25" t="s">
        <v>79</v>
      </c>
      <c r="C54" s="25" t="s">
        <v>827</v>
      </c>
      <c r="D54" s="25" t="s">
        <v>325</v>
      </c>
      <c r="E54" s="27" t="s">
        <v>176</v>
      </c>
      <c r="F54" s="75">
        <f>pufik_W</f>
        <v>400</v>
      </c>
      <c r="G54" s="75">
        <f>pufik_W</f>
        <v>400</v>
      </c>
      <c r="H54" s="107">
        <f>pufik_soni</f>
        <v>1</v>
      </c>
      <c r="I54" s="42">
        <f t="shared" si="5"/>
        <v>0.16</v>
      </c>
      <c r="J54" s="108">
        <v>0</v>
      </c>
      <c r="K54" s="108">
        <v>0</v>
      </c>
      <c r="L54" s="108">
        <v>0</v>
      </c>
      <c r="M54" s="108">
        <v>0</v>
      </c>
      <c r="N54" s="42">
        <f t="shared" si="6"/>
        <v>0</v>
      </c>
      <c r="O54" s="42">
        <f t="shared" si="7"/>
        <v>0</v>
      </c>
      <c r="P54" s="42">
        <f t="shared" si="8"/>
        <v>1.6</v>
      </c>
      <c r="Q54" s="42">
        <f t="shared" si="9"/>
        <v>0</v>
      </c>
      <c r="R54" s="28"/>
    </row>
    <row r="55" spans="1:18" ht="25.5" x14ac:dyDescent="0.25">
      <c r="A55" s="27">
        <v>51</v>
      </c>
      <c r="B55" s="25" t="s">
        <v>81</v>
      </c>
      <c r="C55" s="25" t="s">
        <v>828</v>
      </c>
      <c r="D55" s="25" t="s">
        <v>322</v>
      </c>
      <c r="E55" s="27" t="s">
        <v>801</v>
      </c>
      <c r="F55" s="75">
        <f>oyna_H+2*oyna_ramka</f>
        <v>1700</v>
      </c>
      <c r="G55" s="75">
        <f>oyna_W+2*oyna_ramka</f>
        <v>600</v>
      </c>
      <c r="H55" s="107">
        <f>oyna_soni</f>
        <v>1</v>
      </c>
      <c r="I55" s="42">
        <f t="shared" si="5"/>
        <v>1.02</v>
      </c>
      <c r="J55" s="108">
        <v>2</v>
      </c>
      <c r="K55" s="108">
        <v>2</v>
      </c>
      <c r="L55" s="108">
        <v>0</v>
      </c>
      <c r="M55" s="108">
        <v>0</v>
      </c>
      <c r="N55" s="42">
        <f t="shared" si="6"/>
        <v>4.5999999999999996</v>
      </c>
      <c r="O55" s="42">
        <f t="shared" si="7"/>
        <v>0</v>
      </c>
      <c r="P55" s="42">
        <f t="shared" si="8"/>
        <v>4.5999999999999996</v>
      </c>
      <c r="Q55" s="42">
        <f t="shared" si="9"/>
        <v>0</v>
      </c>
      <c r="R55" s="28" t="s">
        <v>829</v>
      </c>
    </row>
    <row r="56" spans="1:18" ht="25.5" x14ac:dyDescent="0.25">
      <c r="A56" s="27">
        <v>52</v>
      </c>
      <c r="B56" s="25" t="s">
        <v>81</v>
      </c>
      <c r="C56" s="25" t="s">
        <v>830</v>
      </c>
      <c r="D56" s="25" t="s">
        <v>322</v>
      </c>
      <c r="E56" s="27" t="s">
        <v>801</v>
      </c>
      <c r="F56" s="75">
        <f>oyna_W+2*oyna_ramka</f>
        <v>600</v>
      </c>
      <c r="G56" s="75">
        <f>oyna_asos</f>
        <v>300</v>
      </c>
      <c r="H56" s="107">
        <f>oyna_soni</f>
        <v>1</v>
      </c>
      <c r="I56" s="42">
        <f t="shared" si="5"/>
        <v>0.18</v>
      </c>
      <c r="J56" s="108">
        <v>2</v>
      </c>
      <c r="K56" s="108">
        <v>2</v>
      </c>
      <c r="L56" s="108">
        <v>0</v>
      </c>
      <c r="M56" s="108">
        <v>0</v>
      </c>
      <c r="N56" s="42">
        <f t="shared" si="6"/>
        <v>1.8</v>
      </c>
      <c r="O56" s="42">
        <f t="shared" si="7"/>
        <v>0</v>
      </c>
      <c r="P56" s="42">
        <f t="shared" si="8"/>
        <v>1.8</v>
      </c>
      <c r="Q56" s="42">
        <f t="shared" si="9"/>
        <v>0</v>
      </c>
      <c r="R56" s="28" t="s">
        <v>831</v>
      </c>
    </row>
    <row r="57" spans="1:18" ht="25.5" x14ac:dyDescent="0.25">
      <c r="A57" s="27">
        <v>53</v>
      </c>
      <c r="B57" s="25" t="s">
        <v>81</v>
      </c>
      <c r="C57" s="25" t="s">
        <v>832</v>
      </c>
      <c r="D57" s="25" t="s">
        <v>322</v>
      </c>
      <c r="E57" s="27" t="s">
        <v>801</v>
      </c>
      <c r="F57" s="75">
        <f>oyna_asos</f>
        <v>300</v>
      </c>
      <c r="G57" s="75">
        <f>oyna_asos</f>
        <v>300</v>
      </c>
      <c r="H57" s="107">
        <f>2*oyna_soni</f>
        <v>2</v>
      </c>
      <c r="I57" s="42">
        <f t="shared" si="5"/>
        <v>0.18</v>
      </c>
      <c r="J57" s="108">
        <v>1</v>
      </c>
      <c r="K57" s="108">
        <v>1</v>
      </c>
      <c r="L57" s="108">
        <v>0</v>
      </c>
      <c r="M57" s="108">
        <v>0</v>
      </c>
      <c r="N57" s="42">
        <f t="shared" si="6"/>
        <v>1.2</v>
      </c>
      <c r="O57" s="42">
        <f t="shared" si="7"/>
        <v>0</v>
      </c>
      <c r="P57" s="42">
        <f t="shared" si="8"/>
        <v>2.4</v>
      </c>
      <c r="Q57" s="42">
        <f t="shared" si="9"/>
        <v>0</v>
      </c>
      <c r="R57" s="28" t="s">
        <v>833</v>
      </c>
    </row>
    <row r="58" spans="1:18" x14ac:dyDescent="0.25">
      <c r="A58" s="27">
        <v>54</v>
      </c>
      <c r="B58" s="25" t="s">
        <v>81</v>
      </c>
      <c r="C58" s="25" t="s">
        <v>834</v>
      </c>
      <c r="D58" s="25" t="s">
        <v>796</v>
      </c>
      <c r="E58" s="27" t="s">
        <v>176</v>
      </c>
      <c r="F58" s="75">
        <f>oyna_H</f>
        <v>1600</v>
      </c>
      <c r="G58" s="75">
        <f>oyna_W</f>
        <v>500</v>
      </c>
      <c r="H58" s="107">
        <f>oyna_soni</f>
        <v>1</v>
      </c>
      <c r="I58" s="42">
        <f t="shared" si="5"/>
        <v>0.8</v>
      </c>
      <c r="J58" s="108">
        <v>0</v>
      </c>
      <c r="K58" s="108">
        <v>0</v>
      </c>
      <c r="L58" s="108">
        <v>0</v>
      </c>
      <c r="M58" s="108">
        <v>0</v>
      </c>
      <c r="N58" s="42">
        <f t="shared" si="6"/>
        <v>0</v>
      </c>
      <c r="O58" s="42">
        <f t="shared" si="7"/>
        <v>0</v>
      </c>
      <c r="P58" s="42">
        <f t="shared" si="8"/>
        <v>4.2</v>
      </c>
      <c r="Q58" s="42">
        <f t="shared" si="9"/>
        <v>0</v>
      </c>
      <c r="R58" s="28" t="s">
        <v>835</v>
      </c>
    </row>
  </sheetData>
  <autoFilter ref="A4:R58"/>
  <pageMargins left="0.75" right="0.75" top="1" bottom="1" header="0.511811023622047" footer="0.511811023622047"/>
  <pageSetup paperSize="9" fitToHeight="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2" sqref="C12"/>
    </sheetView>
  </sheetViews>
  <sheetFormatPr defaultColWidth="8.7109375" defaultRowHeight="15" x14ac:dyDescent="0.25"/>
  <cols>
    <col min="1" max="1" width="5" customWidth="1"/>
    <col min="2" max="2" width="12" customWidth="1"/>
    <col min="3" max="3" width="48" customWidth="1"/>
    <col min="4" max="4" width="10" customWidth="1"/>
    <col min="5" max="5" width="11" customWidth="1"/>
    <col min="6" max="6" width="60" customWidth="1"/>
  </cols>
  <sheetData>
    <row r="1" spans="1:6" ht="18" x14ac:dyDescent="0.25">
      <c r="A1" s="1" t="s">
        <v>836</v>
      </c>
    </row>
    <row r="2" spans="1:6" x14ac:dyDescent="0.25">
      <c r="A2" s="2" t="s">
        <v>837</v>
      </c>
    </row>
    <row r="4" spans="1:6" ht="36" customHeight="1" x14ac:dyDescent="0.25">
      <c r="A4" s="6" t="s">
        <v>100</v>
      </c>
      <c r="B4" s="6" t="s">
        <v>41</v>
      </c>
      <c r="C4" s="6" t="s">
        <v>838</v>
      </c>
      <c r="D4" s="6" t="s">
        <v>44</v>
      </c>
      <c r="E4" s="6" t="s">
        <v>839</v>
      </c>
      <c r="F4" s="6" t="s">
        <v>840</v>
      </c>
    </row>
    <row r="5" spans="1:6" x14ac:dyDescent="0.25">
      <c r="A5" s="27">
        <v>1</v>
      </c>
      <c r="B5" s="25" t="s">
        <v>46</v>
      </c>
      <c r="C5" s="25" t="s">
        <v>215</v>
      </c>
      <c r="D5" s="25" t="s">
        <v>48</v>
      </c>
      <c r="E5" s="21">
        <f>shkaf_eshik*shkaf_petlya*shkaf_soni</f>
        <v>30</v>
      </c>
      <c r="F5" s="28" t="s">
        <v>841</v>
      </c>
    </row>
    <row r="6" spans="1:6" x14ac:dyDescent="0.25">
      <c r="A6" s="27">
        <v>2</v>
      </c>
      <c r="B6" s="25" t="s">
        <v>46</v>
      </c>
      <c r="C6" s="25" t="s">
        <v>216</v>
      </c>
      <c r="D6" s="25" t="s">
        <v>48</v>
      </c>
      <c r="E6" s="21">
        <f>shkaf_eshik*shkaf_soni</f>
        <v>6</v>
      </c>
      <c r="F6" s="28" t="s">
        <v>842</v>
      </c>
    </row>
    <row r="7" spans="1:6" x14ac:dyDescent="0.25">
      <c r="A7" s="27">
        <v>3</v>
      </c>
      <c r="B7" s="25" t="s">
        <v>46</v>
      </c>
      <c r="C7" s="25" t="s">
        <v>221</v>
      </c>
      <c r="D7" s="25" t="s">
        <v>210</v>
      </c>
      <c r="E7" s="111">
        <f>((shkaf_sek-1)*shkaf_sekW/1000)*shkaf_soni</f>
        <v>1.556</v>
      </c>
      <c r="F7" s="28" t="s">
        <v>843</v>
      </c>
    </row>
    <row r="8" spans="1:6" x14ac:dyDescent="0.25">
      <c r="A8" s="27">
        <v>4</v>
      </c>
      <c r="B8" s="25" t="s">
        <v>46</v>
      </c>
      <c r="C8" s="25" t="s">
        <v>222</v>
      </c>
      <c r="D8" s="25" t="s">
        <v>48</v>
      </c>
      <c r="E8" s="21">
        <f>(2*(shkaf_sek-1))*shkaf_soni</f>
        <v>4</v>
      </c>
      <c r="F8" s="28" t="s">
        <v>844</v>
      </c>
    </row>
    <row r="9" spans="1:6" x14ac:dyDescent="0.25">
      <c r="A9" s="27">
        <v>5</v>
      </c>
      <c r="B9" s="25" t="s">
        <v>46</v>
      </c>
      <c r="C9" s="25" t="s">
        <v>223</v>
      </c>
      <c r="D9" s="25" t="s">
        <v>48</v>
      </c>
      <c r="E9" s="21">
        <f>4*shkaf_polka*shkaf_soni</f>
        <v>16</v>
      </c>
      <c r="F9" s="28" t="s">
        <v>845</v>
      </c>
    </row>
    <row r="10" spans="1:6" x14ac:dyDescent="0.25">
      <c r="A10" s="27">
        <v>6</v>
      </c>
      <c r="B10" s="25" t="s">
        <v>46</v>
      </c>
      <c r="C10" s="25" t="s">
        <v>224</v>
      </c>
      <c r="D10" s="25" t="s">
        <v>48</v>
      </c>
      <c r="E10" s="21">
        <f>(20+8*(shkaf_sek-1)+4*shkaf_sek)*shkaf_soni</f>
        <v>48</v>
      </c>
      <c r="F10" s="28" t="s">
        <v>846</v>
      </c>
    </row>
    <row r="11" spans="1:6" x14ac:dyDescent="0.25">
      <c r="A11" s="27">
        <v>7</v>
      </c>
      <c r="B11" s="25" t="s">
        <v>46</v>
      </c>
      <c r="C11" s="25" t="s">
        <v>226</v>
      </c>
      <c r="D11" s="25" t="s">
        <v>48</v>
      </c>
      <c r="E11" s="21">
        <f>(20+8*(shkaf_sek-1)+4*shkaf_sek)*shkaf_soni</f>
        <v>48</v>
      </c>
      <c r="F11" s="28" t="s">
        <v>847</v>
      </c>
    </row>
    <row r="12" spans="1:6" x14ac:dyDescent="0.25">
      <c r="A12" s="27">
        <v>8</v>
      </c>
      <c r="B12" s="25" t="s">
        <v>46</v>
      </c>
      <c r="C12" s="25" t="s">
        <v>227</v>
      </c>
      <c r="D12" s="25" t="s">
        <v>48</v>
      </c>
      <c r="E12" s="21">
        <f>(shkaf_eshik*shkaf_petlya*4+2*(shkaf_sek-1)*3)*shkaf_soni</f>
        <v>132</v>
      </c>
      <c r="F12" s="28" t="s">
        <v>848</v>
      </c>
    </row>
    <row r="13" spans="1:6" x14ac:dyDescent="0.25">
      <c r="A13" s="27">
        <v>9</v>
      </c>
      <c r="B13" s="25" t="s">
        <v>46</v>
      </c>
      <c r="C13" s="25" t="s">
        <v>247</v>
      </c>
      <c r="D13" s="25" t="s">
        <v>248</v>
      </c>
      <c r="E13" s="21">
        <f>ROUNDUP(shkaf_oyna_soni/2,0)*shkaf_soni</f>
        <v>1</v>
      </c>
      <c r="F13" s="28" t="s">
        <v>849</v>
      </c>
    </row>
    <row r="14" spans="1:6" x14ac:dyDescent="0.25">
      <c r="A14" s="27">
        <v>10</v>
      </c>
      <c r="B14" s="25" t="s">
        <v>46</v>
      </c>
      <c r="C14" s="25" t="s">
        <v>266</v>
      </c>
      <c r="D14" s="25" t="s">
        <v>210</v>
      </c>
      <c r="E14" s="111">
        <f>(2*(shkaf_oyna_H+shkaf_oyna_W)/1000*shkaf_oyna_soni)*shkaf_soni</f>
        <v>8.4</v>
      </c>
      <c r="F14" s="28" t="s">
        <v>850</v>
      </c>
    </row>
    <row r="15" spans="1:6" x14ac:dyDescent="0.25">
      <c r="A15" s="27">
        <v>11</v>
      </c>
      <c r="B15" s="25" t="s">
        <v>58</v>
      </c>
      <c r="C15" s="25" t="s">
        <v>233</v>
      </c>
      <c r="D15" s="25" t="s">
        <v>234</v>
      </c>
      <c r="E15" s="21">
        <f>4*krovat_soni</f>
        <v>4</v>
      </c>
      <c r="F15" s="28" t="s">
        <v>851</v>
      </c>
    </row>
    <row r="16" spans="1:6" x14ac:dyDescent="0.25">
      <c r="A16" s="27">
        <v>12</v>
      </c>
      <c r="B16" s="25" t="s">
        <v>58</v>
      </c>
      <c r="C16" s="25" t="s">
        <v>235</v>
      </c>
      <c r="D16" s="25" t="s">
        <v>48</v>
      </c>
      <c r="E16" s="21">
        <f>4*krovat_soni</f>
        <v>4</v>
      </c>
      <c r="F16" s="28" t="s">
        <v>852</v>
      </c>
    </row>
    <row r="17" spans="1:6" x14ac:dyDescent="0.25">
      <c r="A17" s="27">
        <v>13</v>
      </c>
      <c r="B17" s="25" t="s">
        <v>58</v>
      </c>
      <c r="C17" s="25" t="s">
        <v>236</v>
      </c>
      <c r="D17" s="25" t="s">
        <v>48</v>
      </c>
      <c r="E17" s="21">
        <f>3*krovat_soni</f>
        <v>3</v>
      </c>
      <c r="F17" s="28" t="s">
        <v>853</v>
      </c>
    </row>
    <row r="18" spans="1:6" x14ac:dyDescent="0.25">
      <c r="A18" s="27">
        <v>14</v>
      </c>
      <c r="B18" s="25" t="s">
        <v>58</v>
      </c>
      <c r="C18" s="25" t="s">
        <v>237</v>
      </c>
      <c r="D18" s="25" t="s">
        <v>210</v>
      </c>
      <c r="E18" s="111">
        <f>2*krovat_ichL/1000*krovat_soni</f>
        <v>4.3360000000000003</v>
      </c>
      <c r="F18" s="28" t="s">
        <v>854</v>
      </c>
    </row>
    <row r="19" spans="1:6" x14ac:dyDescent="0.25">
      <c r="A19" s="27">
        <v>15</v>
      </c>
      <c r="B19" s="25" t="s">
        <v>58</v>
      </c>
      <c r="C19" s="25" t="s">
        <v>224</v>
      </c>
      <c r="D19" s="25" t="s">
        <v>48</v>
      </c>
      <c r="E19" s="21">
        <f>8*krovat_soni</f>
        <v>8</v>
      </c>
      <c r="F19" s="28" t="s">
        <v>855</v>
      </c>
    </row>
    <row r="20" spans="1:6" x14ac:dyDescent="0.25">
      <c r="A20" s="27">
        <v>16</v>
      </c>
      <c r="B20" s="25" t="s">
        <v>58</v>
      </c>
      <c r="C20" s="25" t="s">
        <v>229</v>
      </c>
      <c r="D20" s="25" t="s">
        <v>48</v>
      </c>
      <c r="E20" s="21">
        <f>(ROUNDUP(2*krovat_ichL/250,0)+16+8*figura_qatlam*krovat_fig)*krovat_soni</f>
        <v>42</v>
      </c>
      <c r="F20" s="28" t="s">
        <v>856</v>
      </c>
    </row>
    <row r="21" spans="1:6" x14ac:dyDescent="0.25">
      <c r="A21" s="27">
        <v>17</v>
      </c>
      <c r="B21" s="25" t="s">
        <v>58</v>
      </c>
      <c r="C21" s="25" t="s">
        <v>267</v>
      </c>
      <c r="D21" s="25" t="s">
        <v>210</v>
      </c>
      <c r="E21" s="111">
        <f>(2*(figura_W+figura_H)/1000*figura_koef*figura_qatlam*krovat_fig)*krovat_soni</f>
        <v>6.6000000000000005</v>
      </c>
      <c r="F21" s="28" t="s">
        <v>857</v>
      </c>
    </row>
    <row r="22" spans="1:6" x14ac:dyDescent="0.25">
      <c r="A22" s="27">
        <v>18</v>
      </c>
      <c r="B22" s="25" t="s">
        <v>58</v>
      </c>
      <c r="C22" s="25" t="s">
        <v>238</v>
      </c>
      <c r="D22" s="25" t="s">
        <v>234</v>
      </c>
      <c r="E22" s="21">
        <f>krovat_nasos*krovat_soni</f>
        <v>0</v>
      </c>
      <c r="F22" s="28" t="s">
        <v>858</v>
      </c>
    </row>
    <row r="23" spans="1:6" x14ac:dyDescent="0.25">
      <c r="A23" s="27">
        <v>19</v>
      </c>
      <c r="B23" s="25" t="s">
        <v>74</v>
      </c>
      <c r="C23" s="76" t="str">
        <f>"Yashik napravlyayushiysi — Tumbochka ("&amp;tumba_naprav&amp;" mm)"</f>
        <v>Yashik napravlyayushiysi — Tumbochka (350 mm)</v>
      </c>
      <c r="D23" s="25" t="s">
        <v>217</v>
      </c>
      <c r="E23" s="21">
        <f>tumba_yashik*tumba_soni</f>
        <v>2</v>
      </c>
      <c r="F23" s="28" t="s">
        <v>859</v>
      </c>
    </row>
    <row r="24" spans="1:6" x14ac:dyDescent="0.25">
      <c r="A24" s="27">
        <v>20</v>
      </c>
      <c r="B24" s="25" t="s">
        <v>74</v>
      </c>
      <c r="C24" s="25" t="s">
        <v>216</v>
      </c>
      <c r="D24" s="25" t="s">
        <v>48</v>
      </c>
      <c r="E24" s="21">
        <f>tumba_yashik*tumba_soni</f>
        <v>2</v>
      </c>
      <c r="F24" s="28" t="s">
        <v>860</v>
      </c>
    </row>
    <row r="25" spans="1:6" x14ac:dyDescent="0.25">
      <c r="A25" s="27">
        <v>21</v>
      </c>
      <c r="B25" s="25" t="s">
        <v>74</v>
      </c>
      <c r="C25" s="25" t="s">
        <v>224</v>
      </c>
      <c r="D25" s="25" t="s">
        <v>48</v>
      </c>
      <c r="E25" s="21">
        <f>(12+4*tumba_yashik)*tumba_soni</f>
        <v>20</v>
      </c>
      <c r="F25" s="28" t="s">
        <v>861</v>
      </c>
    </row>
    <row r="26" spans="1:6" x14ac:dyDescent="0.25">
      <c r="A26" s="27">
        <v>22</v>
      </c>
      <c r="B26" s="25" t="s">
        <v>74</v>
      </c>
      <c r="C26" s="25" t="s">
        <v>226</v>
      </c>
      <c r="D26" s="25" t="s">
        <v>48</v>
      </c>
      <c r="E26" s="21">
        <f>12*tumba_soni</f>
        <v>12</v>
      </c>
      <c r="F26" s="28" t="s">
        <v>862</v>
      </c>
    </row>
    <row r="27" spans="1:6" x14ac:dyDescent="0.25">
      <c r="A27" s="27">
        <v>23</v>
      </c>
      <c r="B27" s="25" t="s">
        <v>74</v>
      </c>
      <c r="C27" s="25" t="s">
        <v>227</v>
      </c>
      <c r="D27" s="25" t="s">
        <v>48</v>
      </c>
      <c r="E27" s="21">
        <f>16*tumba_yashik*tumba_soni</f>
        <v>32</v>
      </c>
      <c r="F27" s="28" t="s">
        <v>863</v>
      </c>
    </row>
    <row r="28" spans="1:6" x14ac:dyDescent="0.25">
      <c r="A28" s="27">
        <v>24</v>
      </c>
      <c r="B28" s="25" t="s">
        <v>69</v>
      </c>
      <c r="C28" s="25" t="s">
        <v>215</v>
      </c>
      <c r="D28" s="25" t="s">
        <v>48</v>
      </c>
      <c r="E28" s="21">
        <f>2*trimo_petlya*trimo_soni</f>
        <v>4</v>
      </c>
      <c r="F28" s="28" t="s">
        <v>864</v>
      </c>
    </row>
    <row r="29" spans="1:6" x14ac:dyDescent="0.25">
      <c r="A29" s="27">
        <v>25</v>
      </c>
      <c r="B29" s="25" t="s">
        <v>69</v>
      </c>
      <c r="C29" s="76" t="str">
        <f>"Yashik napravlyayushiysi — Trimo ("&amp;trimo_naprav&amp;" mm)"</f>
        <v>Yashik napravlyayushiysi — Trimo (400 mm)</v>
      </c>
      <c r="D29" s="25" t="s">
        <v>217</v>
      </c>
      <c r="E29" s="21">
        <f>trimo_yashik*trimo_soni</f>
        <v>3</v>
      </c>
      <c r="F29" s="28" t="s">
        <v>859</v>
      </c>
    </row>
    <row r="30" spans="1:6" x14ac:dyDescent="0.25">
      <c r="A30" s="27">
        <v>26</v>
      </c>
      <c r="B30" s="25" t="s">
        <v>69</v>
      </c>
      <c r="C30" s="25" t="s">
        <v>216</v>
      </c>
      <c r="D30" s="25" t="s">
        <v>48</v>
      </c>
      <c r="E30" s="21">
        <f>(2+trimo_yashik)*trimo_soni</f>
        <v>5</v>
      </c>
      <c r="F30" s="28" t="s">
        <v>865</v>
      </c>
    </row>
    <row r="31" spans="1:6" x14ac:dyDescent="0.25">
      <c r="A31" s="27">
        <v>27</v>
      </c>
      <c r="B31" s="25" t="s">
        <v>69</v>
      </c>
      <c r="C31" s="25" t="s">
        <v>223</v>
      </c>
      <c r="D31" s="25" t="s">
        <v>48</v>
      </c>
      <c r="E31" s="21">
        <f>8*trimo_soni</f>
        <v>8</v>
      </c>
      <c r="F31" s="28" t="s">
        <v>866</v>
      </c>
    </row>
    <row r="32" spans="1:6" x14ac:dyDescent="0.25">
      <c r="A32" s="27">
        <v>28</v>
      </c>
      <c r="B32" s="25" t="s">
        <v>69</v>
      </c>
      <c r="C32" s="25" t="s">
        <v>224</v>
      </c>
      <c r="D32" s="25" t="s">
        <v>48</v>
      </c>
      <c r="E32" s="21">
        <f>(20+4*trimo_yashik)*trimo_soni</f>
        <v>32</v>
      </c>
      <c r="F32" s="28" t="s">
        <v>867</v>
      </c>
    </row>
    <row r="33" spans="1:6" x14ac:dyDescent="0.25">
      <c r="A33" s="27">
        <v>29</v>
      </c>
      <c r="B33" s="25" t="s">
        <v>69</v>
      </c>
      <c r="C33" s="25" t="s">
        <v>226</v>
      </c>
      <c r="D33" s="25" t="s">
        <v>48</v>
      </c>
      <c r="E33" s="21">
        <f>20*trimo_soni</f>
        <v>20</v>
      </c>
      <c r="F33" s="28" t="s">
        <v>862</v>
      </c>
    </row>
    <row r="34" spans="1:6" x14ac:dyDescent="0.25">
      <c r="A34" s="27">
        <v>30</v>
      </c>
      <c r="B34" s="25" t="s">
        <v>69</v>
      </c>
      <c r="C34" s="25" t="s">
        <v>227</v>
      </c>
      <c r="D34" s="25" t="s">
        <v>48</v>
      </c>
      <c r="E34" s="21">
        <f>(2*trimo_petlya*4+16*trimo_yashik)*trimo_soni</f>
        <v>64</v>
      </c>
      <c r="F34" s="28" t="s">
        <v>868</v>
      </c>
    </row>
    <row r="35" spans="1:6" x14ac:dyDescent="0.25">
      <c r="A35" s="27">
        <v>31</v>
      </c>
      <c r="B35" s="25" t="s">
        <v>77</v>
      </c>
      <c r="C35" s="76" t="str">
        <f>"Yashik napravlyayushiysi — Chester ("&amp;chest_naprav&amp;" mm)"</f>
        <v>Yashik napravlyayushiysi — Chester (450 mm)</v>
      </c>
      <c r="D35" s="25" t="s">
        <v>217</v>
      </c>
      <c r="E35" s="21">
        <f>chest_yashik*chest_soni</f>
        <v>4</v>
      </c>
      <c r="F35" s="28" t="s">
        <v>859</v>
      </c>
    </row>
    <row r="36" spans="1:6" x14ac:dyDescent="0.25">
      <c r="A36" s="27">
        <v>32</v>
      </c>
      <c r="B36" s="25" t="s">
        <v>77</v>
      </c>
      <c r="C36" s="25" t="s">
        <v>216</v>
      </c>
      <c r="D36" s="25" t="s">
        <v>48</v>
      </c>
      <c r="E36" s="21">
        <f>chest_yashik*chest_soni</f>
        <v>4</v>
      </c>
      <c r="F36" s="28" t="s">
        <v>860</v>
      </c>
    </row>
    <row r="37" spans="1:6" x14ac:dyDescent="0.25">
      <c r="A37" s="27">
        <v>33</v>
      </c>
      <c r="B37" s="25" t="s">
        <v>77</v>
      </c>
      <c r="C37" s="25" t="s">
        <v>224</v>
      </c>
      <c r="D37" s="25" t="s">
        <v>48</v>
      </c>
      <c r="E37" s="21">
        <f>(12+4*chest_yashik)*chest_soni</f>
        <v>28</v>
      </c>
      <c r="F37" s="28" t="s">
        <v>861</v>
      </c>
    </row>
    <row r="38" spans="1:6" x14ac:dyDescent="0.25">
      <c r="A38" s="27">
        <v>34</v>
      </c>
      <c r="B38" s="25" t="s">
        <v>77</v>
      </c>
      <c r="C38" s="25" t="s">
        <v>226</v>
      </c>
      <c r="D38" s="25" t="s">
        <v>48</v>
      </c>
      <c r="E38" s="21">
        <f>12*chest_soni</f>
        <v>12</v>
      </c>
      <c r="F38" s="28" t="s">
        <v>862</v>
      </c>
    </row>
    <row r="39" spans="1:6" x14ac:dyDescent="0.25">
      <c r="A39" s="27">
        <v>35</v>
      </c>
      <c r="B39" s="25" t="s">
        <v>77</v>
      </c>
      <c r="C39" s="25" t="s">
        <v>227</v>
      </c>
      <c r="D39" s="25" t="s">
        <v>48</v>
      </c>
      <c r="E39" s="21">
        <f>16*chest_yashik*chest_soni</f>
        <v>64</v>
      </c>
      <c r="F39" s="28" t="s">
        <v>863</v>
      </c>
    </row>
    <row r="40" spans="1:6" x14ac:dyDescent="0.25">
      <c r="A40" s="27">
        <v>36</v>
      </c>
      <c r="B40" s="25" t="s">
        <v>79</v>
      </c>
      <c r="C40" s="25" t="s">
        <v>239</v>
      </c>
      <c r="D40" s="25" t="s">
        <v>152</v>
      </c>
      <c r="E40" s="111">
        <f>pufik_W*pufik_W/1000000*pufik_soni</f>
        <v>0.16</v>
      </c>
      <c r="F40" s="28" t="s">
        <v>869</v>
      </c>
    </row>
    <row r="41" spans="1:6" x14ac:dyDescent="0.25">
      <c r="A41" s="27">
        <v>37</v>
      </c>
      <c r="B41" s="25" t="s">
        <v>79</v>
      </c>
      <c r="C41" s="25" t="s">
        <v>240</v>
      </c>
      <c r="D41" s="25" t="s">
        <v>152</v>
      </c>
      <c r="E41" s="111">
        <f>4*pufik_W*pufik_qutiH/1000000*pufik_soni</f>
        <v>0.56000000000000005</v>
      </c>
      <c r="F41" s="28" t="s">
        <v>870</v>
      </c>
    </row>
    <row r="42" spans="1:6" x14ac:dyDescent="0.25">
      <c r="A42" s="27">
        <v>38</v>
      </c>
      <c r="B42" s="25" t="s">
        <v>79</v>
      </c>
      <c r="C42" s="25" t="s">
        <v>241</v>
      </c>
      <c r="D42" s="25" t="s">
        <v>152</v>
      </c>
      <c r="E42" s="111">
        <f>(((pufik_W+60)*(pufik_W+60)+4*(pufik_W+60)*(pufik_H-pufik_oyoq+60))/1000000)*pufik_soni</f>
        <v>1.0580000000000001</v>
      </c>
      <c r="F42" s="28" t="s">
        <v>871</v>
      </c>
    </row>
    <row r="43" spans="1:6" x14ac:dyDescent="0.25">
      <c r="A43" s="27">
        <v>39</v>
      </c>
      <c r="B43" s="25" t="s">
        <v>79</v>
      </c>
      <c r="C43" s="25" t="s">
        <v>242</v>
      </c>
      <c r="D43" s="25" t="s">
        <v>48</v>
      </c>
      <c r="E43" s="21">
        <f>4*pufik_soni</f>
        <v>4</v>
      </c>
      <c r="F43" s="28"/>
    </row>
    <row r="44" spans="1:6" x14ac:dyDescent="0.25">
      <c r="A44" s="27">
        <v>40</v>
      </c>
      <c r="B44" s="25" t="s">
        <v>79</v>
      </c>
      <c r="C44" s="25" t="s">
        <v>224</v>
      </c>
      <c r="D44" s="25" t="s">
        <v>48</v>
      </c>
      <c r="E44" s="21">
        <f>8*pufik_soni</f>
        <v>8</v>
      </c>
      <c r="F44" s="28" t="s">
        <v>872</v>
      </c>
    </row>
    <row r="45" spans="1:6" x14ac:dyDescent="0.25">
      <c r="A45" s="27">
        <v>41</v>
      </c>
      <c r="B45" s="25" t="s">
        <v>79</v>
      </c>
      <c r="C45" s="25" t="s">
        <v>243</v>
      </c>
      <c r="D45" s="25" t="s">
        <v>48</v>
      </c>
      <c r="E45" s="21">
        <f>150*pufik_soni</f>
        <v>150</v>
      </c>
      <c r="F45" s="28" t="s">
        <v>873</v>
      </c>
    </row>
    <row r="46" spans="1:6" x14ac:dyDescent="0.25">
      <c r="A46" s="27">
        <v>42</v>
      </c>
      <c r="B46" s="25" t="s">
        <v>79</v>
      </c>
      <c r="C46" s="25" t="s">
        <v>244</v>
      </c>
      <c r="D46" s="25" t="s">
        <v>245</v>
      </c>
      <c r="E46" s="111">
        <f>0.1*pufik_soni</f>
        <v>0.1</v>
      </c>
      <c r="F46" s="28" t="s">
        <v>873</v>
      </c>
    </row>
    <row r="47" spans="1:6" x14ac:dyDescent="0.25">
      <c r="A47" s="27">
        <v>43</v>
      </c>
      <c r="B47" s="25" t="s">
        <v>81</v>
      </c>
      <c r="C47" s="25" t="s">
        <v>247</v>
      </c>
      <c r="D47" s="25" t="s">
        <v>248</v>
      </c>
      <c r="E47" s="21">
        <f>oyna_soni</f>
        <v>1</v>
      </c>
      <c r="F47" s="28" t="s">
        <v>874</v>
      </c>
    </row>
    <row r="48" spans="1:6" x14ac:dyDescent="0.25">
      <c r="A48" s="27">
        <v>44</v>
      </c>
      <c r="B48" s="25" t="s">
        <v>81</v>
      </c>
      <c r="C48" s="25" t="s">
        <v>249</v>
      </c>
      <c r="D48" s="25" t="s">
        <v>48</v>
      </c>
      <c r="E48" s="21">
        <f>2*oyna_soni</f>
        <v>2</v>
      </c>
      <c r="F48" s="28" t="s">
        <v>875</v>
      </c>
    </row>
    <row r="49" spans="1:6" x14ac:dyDescent="0.25">
      <c r="A49" s="27">
        <v>45</v>
      </c>
      <c r="B49" s="25" t="s">
        <v>81</v>
      </c>
      <c r="C49" s="25" t="s">
        <v>224</v>
      </c>
      <c r="D49" s="25" t="s">
        <v>48</v>
      </c>
      <c r="E49" s="21">
        <f>6*oyna_soni</f>
        <v>6</v>
      </c>
      <c r="F49" s="28" t="s">
        <v>876</v>
      </c>
    </row>
    <row r="50" spans="1:6" x14ac:dyDescent="0.25">
      <c r="A50" s="27">
        <v>46</v>
      </c>
      <c r="B50" s="25" t="s">
        <v>81</v>
      </c>
      <c r="C50" s="25" t="s">
        <v>266</v>
      </c>
      <c r="D50" s="25" t="s">
        <v>210</v>
      </c>
      <c r="E50" s="111">
        <f>(2*(oyna_H+oyna_W)/1000)*oyna_soni</f>
        <v>4.2</v>
      </c>
      <c r="F50" s="28" t="s">
        <v>877</v>
      </c>
    </row>
    <row r="51" spans="1:6" x14ac:dyDescent="0.25">
      <c r="A51" s="27">
        <v>47</v>
      </c>
      <c r="B51" s="25" t="s">
        <v>46</v>
      </c>
      <c r="C51" s="25" t="s">
        <v>231</v>
      </c>
      <c r="D51" s="25" t="s">
        <v>48</v>
      </c>
      <c r="E51" s="21">
        <f>ROUNDUP(SUMIFS(Detallar!$P$5:$P$300,Detallar!$B$5:$B$300,"Shkaf",Detallar!$D$5:$D$300,"DVP 3mm")*10,0)</f>
        <v>180</v>
      </c>
      <c r="F51" s="28" t="s">
        <v>878</v>
      </c>
    </row>
    <row r="52" spans="1:6" x14ac:dyDescent="0.25">
      <c r="A52" s="27">
        <v>48</v>
      </c>
      <c r="B52" s="25" t="s">
        <v>74</v>
      </c>
      <c r="C52" s="25" t="s">
        <v>231</v>
      </c>
      <c r="D52" s="25" t="s">
        <v>48</v>
      </c>
      <c r="E52" s="21">
        <f>ROUNDUP(SUMIFS(Detallar!$P$5:$P$300,Detallar!$B$5:$B$300,"Tumbochka",Detallar!$D$5:$D$300,"DVP 3mm")*10,0)</f>
        <v>54</v>
      </c>
      <c r="F52" s="28" t="s">
        <v>878</v>
      </c>
    </row>
    <row r="53" spans="1:6" x14ac:dyDescent="0.25">
      <c r="A53" s="27">
        <v>49</v>
      </c>
      <c r="B53" s="25" t="s">
        <v>69</v>
      </c>
      <c r="C53" s="25" t="s">
        <v>231</v>
      </c>
      <c r="D53" s="25" t="s">
        <v>48</v>
      </c>
      <c r="E53" s="21">
        <f>ROUNDUP(SUMIFS(Detallar!$P$5:$P$300,Detallar!$B$5:$B$300,"Trimo",Detallar!$D$5:$D$300,"DVP 3mm")*10,0)</f>
        <v>102</v>
      </c>
      <c r="F53" s="28" t="s">
        <v>878</v>
      </c>
    </row>
    <row r="54" spans="1:6" x14ac:dyDescent="0.25">
      <c r="A54" s="27">
        <v>50</v>
      </c>
      <c r="B54" s="25" t="s">
        <v>77</v>
      </c>
      <c r="C54" s="25" t="s">
        <v>231</v>
      </c>
      <c r="D54" s="25" t="s">
        <v>48</v>
      </c>
      <c r="E54" s="21">
        <f>ROUNDUP(SUMIFS(Detallar!$P$5:$P$300,Detallar!$B$5:$B$300,"Chester",Detallar!$D$5:$D$300,"DVP 3mm")*10,0)</f>
        <v>131</v>
      </c>
      <c r="F54" s="28" t="s">
        <v>878</v>
      </c>
    </row>
    <row r="55" spans="1:6" x14ac:dyDescent="0.25">
      <c r="A55" s="27">
        <v>51</v>
      </c>
      <c r="B55" s="25" t="s">
        <v>79</v>
      </c>
      <c r="C55" s="25" t="s">
        <v>231</v>
      </c>
      <c r="D55" s="25" t="s">
        <v>48</v>
      </c>
      <c r="E55" s="21">
        <f>ROUNDUP(SUMIFS(Detallar!$P$5:$P$300,Detallar!$B$5:$B$300,"Pufik",Detallar!$D$5:$D$300,"DVP 3mm")*10,0)</f>
        <v>16</v>
      </c>
      <c r="F55" s="28" t="s">
        <v>878</v>
      </c>
    </row>
    <row r="56" spans="1:6" x14ac:dyDescent="0.25">
      <c r="A56" s="27">
        <v>52</v>
      </c>
      <c r="B56" s="25" t="s">
        <v>67</v>
      </c>
      <c r="C56" s="25" t="s">
        <v>251</v>
      </c>
      <c r="D56" s="25" t="s">
        <v>48</v>
      </c>
      <c r="E56" s="21">
        <f>IF(p_matras="Yo'q",0,krovat_soni)</f>
        <v>1</v>
      </c>
      <c r="F56" s="28" t="s">
        <v>879</v>
      </c>
    </row>
    <row r="57" spans="1:6" x14ac:dyDescent="0.25">
      <c r="A57" s="27">
        <v>53</v>
      </c>
      <c r="B57" s="25" t="s">
        <v>91</v>
      </c>
      <c r="C57" s="25" t="s">
        <v>254</v>
      </c>
      <c r="D57" s="25" t="s">
        <v>152</v>
      </c>
      <c r="E57" s="111">
        <f>ROUND((SUMIFS(Detallar!$I$5:$I$300,Detallar!$D$5:$D$300,"LDSP 16mm")+SUMIFS(Detallar!$I$5:$I$300,Detallar!$D$5:$D$300,"DSP 16mm (oddiy kapot)")+SUMIFS(Detallar!$I$5:$I$300,Detallar!$D$5:$D$300,"DSP 16mm (nasosli kapot)"))*upak_koef,1)</f>
        <v>19.5</v>
      </c>
      <c r="F57" s="28" t="s">
        <v>880</v>
      </c>
    </row>
    <row r="58" spans="1:6" x14ac:dyDescent="0.25">
      <c r="A58" s="27">
        <v>54</v>
      </c>
      <c r="B58" s="25" t="s">
        <v>91</v>
      </c>
      <c r="C58" s="25" t="s">
        <v>256</v>
      </c>
      <c r="D58" s="25" t="s">
        <v>257</v>
      </c>
      <c r="E58" s="21">
        <f>ROUND((SUMIFS(Detallar!$I$5:$I$300,Detallar!$D$5:$D$300,"LDSP 16mm")+SUMIFS(Detallar!$I$5:$I$300,Detallar!$D$5:$D$300,"DSP 16mm (oddiy kapot)")+SUMIFS(Detallar!$I$5:$I$300,Detallar!$D$5:$D$300,"DSP 16mm (nasosli kapot)"))*0.05,1)</f>
        <v>2</v>
      </c>
      <c r="F58" s="28" t="s">
        <v>881</v>
      </c>
    </row>
    <row r="59" spans="1:6" x14ac:dyDescent="0.25">
      <c r="A59" s="27">
        <v>55</v>
      </c>
      <c r="B59" s="25" t="s">
        <v>91</v>
      </c>
      <c r="C59" s="25" t="s">
        <v>258</v>
      </c>
      <c r="D59" s="25" t="s">
        <v>48</v>
      </c>
      <c r="E59" s="21">
        <f>ROUNDUP((SUMIFS(Detallar!$I$5:$I$300,Detallar!$D$5:$D$300,"LDSP 16mm")+SUMIFS(Detallar!$I$5:$I$300,Detallar!$D$5:$D$300,"DSP 16mm (oddiy kapot)")+SUMIFS(Detallar!$I$5:$I$300,Detallar!$D$5:$D$300,"DSP 16mm (nasosli kapot)"))/10,0)</f>
        <v>4</v>
      </c>
      <c r="F59" s="28" t="s">
        <v>882</v>
      </c>
    </row>
    <row r="60" spans="1:6" x14ac:dyDescent="0.25">
      <c r="A60" s="27">
        <v>56</v>
      </c>
      <c r="B60" s="25" t="s">
        <v>91</v>
      </c>
      <c r="C60" s="25" t="s">
        <v>259</v>
      </c>
      <c r="D60" s="25" t="s">
        <v>48</v>
      </c>
      <c r="E60" s="21">
        <f>ROUNDUP((SUMIFS(Detallar!$I$5:$I$300,Detallar!$D$5:$D$300,"LDSP 16mm")+SUMIFS(Detallar!$I$5:$I$300,Detallar!$D$5:$D$300,"DSP 16mm (oddiy kapot)")+SUMIFS(Detallar!$I$5:$I$300,Detallar!$D$5:$D$300,"DSP 16mm (nasosli kapot)"))/1,0)</f>
        <v>40</v>
      </c>
      <c r="F60" s="28" t="s">
        <v>883</v>
      </c>
    </row>
  </sheetData>
  <autoFilter ref="A4:F60"/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209</vt:i4>
      </vt:variant>
    </vt:vector>
  </HeadingPairs>
  <TitlesOfParts>
    <vt:vector size="225" baseType="lpstr">
      <vt:lpstr>Buyurtma</vt:lpstr>
      <vt:lpstr>Spalniy</vt:lpstr>
      <vt:lpstr>Oshxona</vt:lpstr>
      <vt:lpstr>Korpus mebel</vt:lpstr>
      <vt:lpstr>Mijoz uchun</vt:lpstr>
      <vt:lpstr>Ustalar</vt:lpstr>
      <vt:lpstr>Laminat xom ashyo</vt:lpstr>
      <vt:lpstr>Krasheniy xom ashyo</vt:lpstr>
      <vt:lpstr>Oshxona narxlari</vt:lpstr>
      <vt:lpstr>Tannarx</vt:lpstr>
      <vt:lpstr>Korpus hisob</vt:lpstr>
      <vt:lpstr>Tariflar</vt:lpstr>
      <vt:lpstr>Ro'yxat</vt:lpstr>
      <vt:lpstr>Sozlamalar</vt:lpstr>
      <vt:lpstr>Detallar</vt:lpstr>
      <vt:lpstr>Furnitura</vt:lpstr>
      <vt:lpstr>chegirma_summa</vt:lpstr>
      <vt:lpstr>chest_D</vt:lpstr>
      <vt:lpstr>chest_Dk</vt:lpstr>
      <vt:lpstr>chest_fasH</vt:lpstr>
      <vt:lpstr>chest_fasW</vt:lpstr>
      <vt:lpstr>chest_H</vt:lpstr>
      <vt:lpstr>chest_kra</vt:lpstr>
      <vt:lpstr>chest_kyon</vt:lpstr>
      <vt:lpstr>chest_kyuz</vt:lpstr>
      <vt:lpstr>chest_naprav</vt:lpstr>
      <vt:lpstr>chest_qH</vt:lpstr>
      <vt:lpstr>chest_qW</vt:lpstr>
      <vt:lpstr>chest_soni</vt:lpstr>
      <vt:lpstr>chest_W</vt:lpstr>
      <vt:lpstr>chest_yashik</vt:lpstr>
      <vt:lpstr>dsp_L</vt:lpstr>
      <vt:lpstr>dsp_W</vt:lpstr>
      <vt:lpstr>dvp_L</vt:lpstr>
      <vt:lpstr>dvp_W</vt:lpstr>
      <vt:lpstr>emal_norma</vt:lpstr>
      <vt:lpstr>eritgich_norma</vt:lpstr>
      <vt:lpstr>fasad_tomon</vt:lpstr>
      <vt:lpstr>figura_H</vt:lpstr>
      <vt:lpstr>figura_koef</vt:lpstr>
      <vt:lpstr>figura_qatlam</vt:lpstr>
      <vt:lpstr>figura_W</vt:lpstr>
      <vt:lpstr>grunt_norma</vt:lpstr>
      <vt:lpstr>jami_sotuv</vt:lpstr>
      <vt:lpstr>k_bolim_eni</vt:lpstr>
      <vt:lpstr>k_kupe_eni</vt:lpstr>
      <vt:lpstr>k_kupe_H</vt:lpstr>
      <vt:lpstr>k_kupe_ustma</vt:lpstr>
      <vt:lpstr>k_kupe_zazor</vt:lpstr>
      <vt:lpstr>k_oyna_chet</vt:lpstr>
      <vt:lpstr>k_yashik_fas</vt:lpstr>
      <vt:lpstr>k_yashik_quti</vt:lpstr>
      <vt:lpstr>kompaniya_kontakt</vt:lpstr>
      <vt:lpstr>kompaniya_nomi</vt:lpstr>
      <vt:lpstr>kor_miss</vt:lpstr>
      <vt:lpstr>kor_sotuv</vt:lpstr>
      <vt:lpstr>kor_tan</vt:lpstr>
      <vt:lpstr>korpus_tomon</vt:lpstr>
      <vt:lpstr>krovat_balka</vt:lpstr>
      <vt:lpstr>krovat_fig</vt:lpstr>
      <vt:lpstr>krovat_H</vt:lpstr>
      <vt:lpstr>krovat_ichL</vt:lpstr>
      <vt:lpstr>krovat_ichW</vt:lpstr>
      <vt:lpstr>krovat_L</vt:lpstr>
      <vt:lpstr>krovat_nasos</vt:lpstr>
      <vt:lpstr>krovat_soni</vt:lpstr>
      <vt:lpstr>krovat_spinka</vt:lpstr>
      <vt:lpstr>krovat_tsarga</vt:lpstr>
      <vt:lpstr>krovat_W</vt:lpstr>
      <vt:lpstr>kurs_baza</vt:lpstr>
      <vt:lpstr>kurs_joriy</vt:lpstr>
      <vt:lpstr>lak_norma</vt:lpstr>
      <vt:lpstr>ldsp_L</vt:lpstr>
      <vt:lpstr>ldsp_W</vt:lpstr>
      <vt:lpstr>mdf_L</vt:lpstr>
      <vt:lpstr>mdf_W</vt:lpstr>
      <vt:lpstr>naqd_chegirma_bilan</vt:lpstr>
      <vt:lpstr>naqd_narx</vt:lpstr>
      <vt:lpstr>old_tolov</vt:lpstr>
      <vt:lpstr>old_ulush</vt:lpstr>
      <vt:lpstr>osh_bal_list</vt:lpstr>
      <vt:lpstr>osh_sotuv</vt:lpstr>
      <vt:lpstr>osh_t_bal</vt:lpstr>
      <vt:lpstr>osh_t_mat</vt:lpstr>
      <vt:lpstr>osh_t_narx</vt:lpstr>
      <vt:lpstr>osh_tan</vt:lpstr>
      <vt:lpstr>osh_xom_list</vt:lpstr>
      <vt:lpstr>oshxona_narx_turi</vt:lpstr>
      <vt:lpstr>oyna_asos</vt:lpstr>
      <vt:lpstr>oyna_H</vt:lpstr>
      <vt:lpstr>oyna_ramka</vt:lpstr>
      <vt:lpstr>oyna_soni</vt:lpstr>
      <vt:lpstr>oyna_W</vt:lpstr>
      <vt:lpstr>p_chegirma</vt:lpstr>
      <vt:lpstr>p_chest_soni</vt:lpstr>
      <vt:lpstr>p_chest_yon</vt:lpstr>
      <vt:lpstr>p_chest_yuz</vt:lpstr>
      <vt:lpstr>p_filial</vt:lpstr>
      <vt:lpstr>p_k_usta</vt:lpstr>
      <vt:lpstr>p_kapot</vt:lpstr>
      <vt:lpstr>p_krovat_figura</vt:lpstr>
      <vt:lpstr>p_krovat_H</vt:lpstr>
      <vt:lpstr>p_krovat_L</vt:lpstr>
      <vt:lpstr>p_krovat_soni</vt:lpstr>
      <vt:lpstr>p_krovat_spinka</vt:lpstr>
      <vt:lpstr>p_krovat_W</vt:lpstr>
      <vt:lpstr>p_m_korpus</vt:lpstr>
      <vt:lpstr>p_m_oshxona</vt:lpstr>
      <vt:lpstr>p_m_spalniy</vt:lpstr>
      <vt:lpstr>p_matras</vt:lpstr>
      <vt:lpstr>p_mijoz</vt:lpstr>
      <vt:lpstr>p_old_foiz</vt:lpstr>
      <vt:lpstr>p_old_summa</vt:lpstr>
      <vt:lpstr>p_oyna_soni</vt:lpstr>
      <vt:lpstr>p_pufik_soni</vt:lpstr>
      <vt:lpstr>p_sana</vt:lpstr>
      <vt:lpstr>p_shkaf_D</vt:lpstr>
      <vt:lpstr>p_shkaf_eshik</vt:lpstr>
      <vt:lpstr>p_shkaf_H</vt:lpstr>
      <vt:lpstr>p_shkaf_oyna</vt:lpstr>
      <vt:lpstr>p_shkaf_soni</vt:lpstr>
      <vt:lpstr>p_shkaf_W</vt:lpstr>
      <vt:lpstr>p_shkaf_yon</vt:lpstr>
      <vt:lpstr>p_shkaf_yuz</vt:lpstr>
      <vt:lpstr>p_sotuvchi</vt:lpstr>
      <vt:lpstr>p_tel</vt:lpstr>
      <vt:lpstr>p_tolov_turi</vt:lpstr>
      <vt:lpstr>p_trimo_D</vt:lpstr>
      <vt:lpstr>p_trimo_H</vt:lpstr>
      <vt:lpstr>p_trimo_soni</vt:lpstr>
      <vt:lpstr>p_trimo_W</vt:lpstr>
      <vt:lpstr>p_trimo_yon</vt:lpstr>
      <vt:lpstr>p_trimo_yuz</vt:lpstr>
      <vt:lpstr>p_tumba_soni</vt:lpstr>
      <vt:lpstr>p_tumba_yon</vt:lpstr>
      <vt:lpstr>p_tumba_yuz</vt:lpstr>
      <vt:lpstr>p_usta</vt:lpstr>
      <vt:lpstr>pufik_H</vt:lpstr>
      <vt:lpstr>pufik_oyoq</vt:lpstr>
      <vt:lpstr>pufik_porolon</vt:lpstr>
      <vt:lpstr>pufik_qutiH</vt:lpstr>
      <vt:lpstr>pufik_soni</vt:lpstr>
      <vt:lpstr>pufik_W</vt:lpstr>
      <vt:lpstr>qal</vt:lpstr>
      <vt:lpstr>qoldiq</vt:lpstr>
      <vt:lpstr>qotir_norma</vt:lpstr>
      <vt:lpstr>royxat_soni</vt:lpstr>
      <vt:lpstr>savdo_ustama</vt:lpstr>
      <vt:lpstr>shkaf_D</vt:lpstr>
      <vt:lpstr>shkaf_Dk</vt:lpstr>
      <vt:lpstr>shkaf_eshik</vt:lpstr>
      <vt:lpstr>shkaf_eshikH</vt:lpstr>
      <vt:lpstr>shkaf_eshikW</vt:lpstr>
      <vt:lpstr>shkaf_H</vt:lpstr>
      <vt:lpstr>shkaf_kra</vt:lpstr>
      <vt:lpstr>shkaf_kyon</vt:lpstr>
      <vt:lpstr>shkaf_kyuz</vt:lpstr>
      <vt:lpstr>shkaf_oyna_H</vt:lpstr>
      <vt:lpstr>shkaf_oyna_soni</vt:lpstr>
      <vt:lpstr>shkaf_oyna_W</vt:lpstr>
      <vt:lpstr>shkaf_petlya</vt:lpstr>
      <vt:lpstr>shkaf_polka</vt:lpstr>
      <vt:lpstr>shkaf_qop_n</vt:lpstr>
      <vt:lpstr>shkaf_qopL</vt:lpstr>
      <vt:lpstr>shkaf_sek</vt:lpstr>
      <vt:lpstr>shkaf_sekW</vt:lpstr>
      <vt:lpstr>shkaf_soni</vt:lpstr>
      <vt:lpstr>shkaf_W</vt:lpstr>
      <vt:lpstr>shkurka_norma</vt:lpstr>
      <vt:lpstr>sp_sotuv</vt:lpstr>
      <vt:lpstr>sp_tan</vt:lpstr>
      <vt:lpstr>tanlangan_jami</vt:lpstr>
      <vt:lpstr>tanlangan_label</vt:lpstr>
      <vt:lpstr>tanlangan_oy</vt:lpstr>
      <vt:lpstr>tanlangan_oylik</vt:lpstr>
      <vt:lpstr>tanlangan_q</vt:lpstr>
      <vt:lpstr>tanlangan_stavka</vt:lpstr>
      <vt:lpstr>tarif_baza</vt:lpstr>
      <vt:lpstr>tir</vt:lpstr>
      <vt:lpstr>tolov_turlari</vt:lpstr>
      <vt:lpstr>trimo_D</vt:lpstr>
      <vt:lpstr>trimo_Dk</vt:lpstr>
      <vt:lpstr>trimo_eshikH</vt:lpstr>
      <vt:lpstr>trimo_fasH</vt:lpstr>
      <vt:lpstr>trimo_fasW</vt:lpstr>
      <vt:lpstr>trimo_H</vt:lpstr>
      <vt:lpstr>trimo_kra</vt:lpstr>
      <vt:lpstr>trimo_kyon</vt:lpstr>
      <vt:lpstr>trimo_kyuz</vt:lpstr>
      <vt:lpstr>trimo_naprav</vt:lpstr>
      <vt:lpstr>trimo_petlya</vt:lpstr>
      <vt:lpstr>trimo_qH</vt:lpstr>
      <vt:lpstr>trimo_qW</vt:lpstr>
      <vt:lpstr>trimo_sekW</vt:lpstr>
      <vt:lpstr>trimo_soni</vt:lpstr>
      <vt:lpstr>trimo_W</vt:lpstr>
      <vt:lpstr>trimo_yashik</vt:lpstr>
      <vt:lpstr>tsokol</vt:lpstr>
      <vt:lpstr>tumba_D</vt:lpstr>
      <vt:lpstr>tumba_Dk</vt:lpstr>
      <vt:lpstr>tumba_fasH</vt:lpstr>
      <vt:lpstr>tumba_fasW</vt:lpstr>
      <vt:lpstr>tumba_H</vt:lpstr>
      <vt:lpstr>tumba_kra</vt:lpstr>
      <vt:lpstr>tumba_kyon</vt:lpstr>
      <vt:lpstr>tumba_kyuz</vt:lpstr>
      <vt:lpstr>tumba_naprav</vt:lpstr>
      <vt:lpstr>tumba_qH</vt:lpstr>
      <vt:lpstr>tumba_qW</vt:lpstr>
      <vt:lpstr>tumba_soni</vt:lpstr>
      <vt:lpstr>tumba_W</vt:lpstr>
      <vt:lpstr>tumba_yashik</vt:lpstr>
      <vt:lpstr>upak_koef</vt:lpstr>
      <vt:lpstr>usta_foiz</vt:lpstr>
      <vt:lpstr>usta_foiz_k</vt:lpstr>
      <vt:lpstr>usta_royxat</vt:lpstr>
      <vt:lpstr>ustama_korpus</vt:lpstr>
      <vt:lpstr>ustama_oshxona</vt:lpstr>
      <vt:lpstr>yaxlit</vt:lpstr>
      <vt:lpstr>zazor_chuq</vt:lpstr>
      <vt:lpstr>zazor_dvp</vt:lpstr>
      <vt:lpstr>zazor_nap</vt:lpstr>
      <vt:lpstr>zazor_polka</vt:lpstr>
      <vt:lpstr>zazor_quti</vt:lpstr>
      <vt:lpstr>'Mijoz uchun'!Область_печати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2026-10-19T10:06:39Z</dcterms:created>
  <dcterms:modified xsi:type="dcterms:W3CDTF">2026-10-19T10:11:16Z</dcterms:modified>
  <dc:language>en-US</dc:language>
</cp:coreProperties>
</file>